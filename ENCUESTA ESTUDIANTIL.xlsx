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4305DE7-FB9C-43DB-A943-D850AE8C86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  <sheet name="Tabulacion" sheetId="2" r:id="rId2"/>
    <sheet name="Dashboard" sheetId="3" r:id="rId3"/>
  </sheets>
  <definedNames>
    <definedName name="_xlchart.v1.0" hidden="1">Tabulacion!$E$28:$E$34</definedName>
    <definedName name="_xlchart.v1.1" hidden="1">Tabulacion!$F$27</definedName>
    <definedName name="_xlchart.v1.10" hidden="1">Tabulacion!$E$28:$E$34</definedName>
    <definedName name="_xlchart.v1.11" hidden="1">Tabulacion!$F$27</definedName>
    <definedName name="_xlchart.v1.12" hidden="1">Tabulacion!$F$28:$F$34</definedName>
    <definedName name="_xlchart.v1.13" hidden="1">Tabulacion!$G$27</definedName>
    <definedName name="_xlchart.v1.14" hidden="1">Tabulacion!$G$28:$G$34</definedName>
    <definedName name="_xlchart.v1.15" hidden="1">Tabulacion!$E$28:$E$34</definedName>
    <definedName name="_xlchart.v1.16" hidden="1">Tabulacion!$F$27</definedName>
    <definedName name="_xlchart.v1.17" hidden="1">Tabulacion!$F$28:$F$34</definedName>
    <definedName name="_xlchart.v1.18" hidden="1">Tabulacion!$G$27</definedName>
    <definedName name="_xlchart.v1.19" hidden="1">Tabulacion!$G$28:$G$34</definedName>
    <definedName name="_xlchart.v1.2" hidden="1">Tabulacion!$F$28:$F$34</definedName>
    <definedName name="_xlchart.v1.20" hidden="1">Tabulacion!$E$28:$E$34</definedName>
    <definedName name="_xlchart.v1.21" hidden="1">Tabulacion!$F$27</definedName>
    <definedName name="_xlchart.v1.22" hidden="1">Tabulacion!$F$28:$F$34</definedName>
    <definedName name="_xlchart.v1.23" hidden="1">Tabulacion!$G$27</definedName>
    <definedName name="_xlchart.v1.24" hidden="1">Tabulacion!$G$28:$G$34</definedName>
    <definedName name="_xlchart.v1.3" hidden="1">Tabulacion!$G$27</definedName>
    <definedName name="_xlchart.v1.4" hidden="1">Tabulacion!$G$28:$G$34</definedName>
    <definedName name="_xlchart.v1.5" hidden="1">Tabulacion!$E$28:$E$34</definedName>
    <definedName name="_xlchart.v1.6" hidden="1">Tabulacion!$F$27</definedName>
    <definedName name="_xlchart.v1.7" hidden="1">Tabulacion!$F$28:$F$34</definedName>
    <definedName name="_xlchart.v1.8" hidden="1">Tabulacion!$G$27</definedName>
    <definedName name="_xlchart.v1.9" hidden="1">Tabulacion!$G$28:$G$34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2" l="1"/>
  <c r="G30" i="2"/>
  <c r="G31" i="2"/>
  <c r="G32" i="2"/>
  <c r="G33" i="2"/>
  <c r="G34" i="2"/>
  <c r="G28" i="2"/>
  <c r="F34" i="2"/>
  <c r="F33" i="2"/>
  <c r="F32" i="2"/>
  <c r="F31" i="2"/>
  <c r="F30" i="2"/>
  <c r="F29" i="2"/>
  <c r="F28" i="2"/>
  <c r="C29" i="2"/>
  <c r="C30" i="2"/>
  <c r="C31" i="2"/>
  <c r="C32" i="2"/>
  <c r="C28" i="2"/>
  <c r="B32" i="2"/>
  <c r="B31" i="2"/>
  <c r="B30" i="2"/>
  <c r="B29" i="2"/>
  <c r="B28" i="2"/>
  <c r="K32" i="2"/>
  <c r="K31" i="2"/>
  <c r="K30" i="2"/>
  <c r="K29" i="2"/>
  <c r="K28" i="2"/>
  <c r="O32" i="2"/>
  <c r="O30" i="2"/>
  <c r="O31" i="2"/>
  <c r="O29" i="2"/>
  <c r="O28" i="2"/>
  <c r="O4" i="2"/>
  <c r="O3" i="2"/>
  <c r="O2" i="2"/>
  <c r="K5" i="2"/>
  <c r="K4" i="2"/>
  <c r="K2" i="2"/>
  <c r="K3" i="2"/>
  <c r="G5" i="2"/>
  <c r="G4" i="2"/>
  <c r="G3" i="2"/>
  <c r="G2" i="2"/>
  <c r="N32" i="2"/>
  <c r="N31" i="2"/>
  <c r="N30" i="2"/>
  <c r="N29" i="2"/>
  <c r="N28" i="2"/>
  <c r="J32" i="2"/>
  <c r="J31" i="2"/>
  <c r="J30" i="2"/>
  <c r="J29" i="2"/>
  <c r="J28" i="2"/>
  <c r="N4" i="2"/>
  <c r="N3" i="2"/>
  <c r="N2" i="2"/>
  <c r="J5" i="2"/>
  <c r="J4" i="2"/>
  <c r="J3" i="2"/>
  <c r="J2" i="2"/>
  <c r="F5" i="2"/>
  <c r="F4" i="2"/>
  <c r="F3" i="2"/>
  <c r="F2" i="2"/>
  <c r="B2" i="2"/>
  <c r="B3" i="2"/>
  <c r="B4" i="2"/>
  <c r="B5" i="2"/>
  <c r="C4" i="2"/>
  <c r="C5" i="2"/>
  <c r="C3" i="2"/>
  <c r="C2" i="2"/>
</calcChain>
</file>

<file path=xl/sharedStrings.xml><?xml version="1.0" encoding="utf-8"?>
<sst xmlns="http://schemas.openxmlformats.org/spreadsheetml/2006/main" count="2848" uniqueCount="378">
  <si>
    <t>Marca temporal</t>
  </si>
  <si>
    <t>NOMBRE COMPLETO</t>
  </si>
  <si>
    <t>RU</t>
  </si>
  <si>
    <t>UNIDAD ACADÉMICA</t>
  </si>
  <si>
    <t>FACULTAD</t>
  </si>
  <si>
    <t>CARRERA</t>
  </si>
  <si>
    <t>Dispositivo que usas PRINCIPALMENTE para estudiar:</t>
  </si>
  <si>
    <t>¿Quién cubre el costo de tu conexión a internet?</t>
  </si>
  <si>
    <t>Tipo de conexión que usas con más frecuencia:</t>
  </si>
  <si>
    <t>¿Cuentas con un espacio tranquilo en casa para estudiar en línea?</t>
  </si>
  <si>
    <t>¿Has utilizado plataformas virtuales (Moodle, Classroom, etc.) en este año académico?</t>
  </si>
  <si>
    <t>Frecuencia de acceso a plataformas:</t>
  </si>
  <si>
    <t>Plataformas que has utilizado (marca hasta 3):</t>
  </si>
  <si>
    <t>Actividad que realizas CON MÁS FRECUENCIA en plataformas:</t>
  </si>
  <si>
    <t>Calidad percibida de tu conexión para actividades académicas</t>
  </si>
  <si>
    <t>¿Con qué frecuencia experimentas interrupciones durante clases/trabajo en línea?</t>
  </si>
  <si>
    <t>Limitaciones técnicas que has enfrentado (marca hasta 3):</t>
  </si>
  <si>
    <t>¿Qué mejora priorizarías para la educación virtual en Cobija?</t>
  </si>
  <si>
    <t>Keimy Karely Gonzales Amutari</t>
  </si>
  <si>
    <t>UAP</t>
  </si>
  <si>
    <t>ACyT</t>
  </si>
  <si>
    <t>Ing. de Sistemas</t>
  </si>
  <si>
    <t>Celular propio</t>
  </si>
  <si>
    <t>Familia</t>
  </si>
  <si>
    <t>wifi en casa</t>
  </si>
  <si>
    <t>Aveces</t>
  </si>
  <si>
    <t>SI</t>
  </si>
  <si>
    <t>Moodle, Google Classroom, Zoom/Google Meet</t>
  </si>
  <si>
    <t>Entregar tareas</t>
  </si>
  <si>
    <t>Regular</t>
  </si>
  <si>
    <t>Caídas frecuentes de plataforma, Lentitud para cargar contenidos, Dificultad para subir archivos/tareas</t>
  </si>
  <si>
    <t>Mejor conexión a internet</t>
  </si>
  <si>
    <t>Ana Erika Alcon Vacaflor</t>
  </si>
  <si>
    <t>Celular propio, Laptop propia</t>
  </si>
  <si>
    <t>Presentar evaluaciones</t>
  </si>
  <si>
    <t>Raramente</t>
  </si>
  <si>
    <t>Lentitud para cargar contenidos</t>
  </si>
  <si>
    <t>Capacitación en uso de plataformas</t>
  </si>
  <si>
    <t>Carlos Andres Vera Terrazas</t>
  </si>
  <si>
    <t>Diaria</t>
  </si>
  <si>
    <t>Moodle, Google Classroom, Zoom/Google Meet, WhatsApp educativo</t>
  </si>
  <si>
    <t>Descargar materiales, Entregar tareas</t>
  </si>
  <si>
    <t>Buena</t>
  </si>
  <si>
    <t>Lentitud para cargar contenidos, Dificultad para subir archivos/tareas</t>
  </si>
  <si>
    <t>Mejor conexión a internet, Capacitación en uso de plataformas</t>
  </si>
  <si>
    <t>Alejandro Eiguana Pedraza</t>
  </si>
  <si>
    <t>Datos moviles, wifi en casa</t>
  </si>
  <si>
    <t>Moodle, Google Classroom</t>
  </si>
  <si>
    <t>Dificultad para subir archivos/tareas, Problemas de audio/video en vivo, Incompatibilidad con mi dispositivo</t>
  </si>
  <si>
    <t>Javier Alexis Cahuana Zabala</t>
  </si>
  <si>
    <t>Laptop propia</t>
  </si>
  <si>
    <t>Sí, siempre</t>
  </si>
  <si>
    <t>Descargar materiales, Entregar tareas, Presentar evaluaciones</t>
  </si>
  <si>
    <t>Mejor conexión a internet, Equipos accesibles para estudiantes</t>
  </si>
  <si>
    <t>Pedro José Yoamona bravo</t>
  </si>
  <si>
    <t>Ingeniería Biomedica</t>
  </si>
  <si>
    <t>Yo mismo</t>
  </si>
  <si>
    <t>Datos moviles</t>
  </si>
  <si>
    <t>Muy mala</t>
  </si>
  <si>
    <t>Frecuentemente</t>
  </si>
  <si>
    <t>Caídas frecuentes de plataforma, Lentitud para cargar contenidos, Dificultad para subir archivos/tareas, Problemas de audio/video en vivo, Incompatibilidad con mi dispositivo, Falta de soporte cuando hay problemas</t>
  </si>
  <si>
    <t>Brandoly Cuellar sainz</t>
  </si>
  <si>
    <t>Celular propio, Equipo de la Institución</t>
  </si>
  <si>
    <t>Nunca</t>
  </si>
  <si>
    <t>Google Classroom, Zoom/Google Meet</t>
  </si>
  <si>
    <t>Mejor conexión a internet, Capacitación en uso de plataformas, Contenidos mejor adaptados a modalidad virtual</t>
  </si>
  <si>
    <t>Ana Mayerli Alcon Vacaflor</t>
  </si>
  <si>
    <t>Entregar tareas, Presentar evaluaciones, Videoconferencias</t>
  </si>
  <si>
    <t>Caídas frecuentes de plataforma, Lentitud para cargar contenidos, Problemas de audio/video en vivo</t>
  </si>
  <si>
    <t>Diosmar Ronald Flores Bohorquez</t>
  </si>
  <si>
    <t>no tengo acceso constante</t>
  </si>
  <si>
    <t>Google Classroom, Zoom/Google Meet, WhatsApp educativo</t>
  </si>
  <si>
    <t>Mejor conexión a internet, Equipos accesibles para estudiantes, Soporte técnico más ágil</t>
  </si>
  <si>
    <t>Richnan Rafael</t>
  </si>
  <si>
    <t>Zoom/Google Meet</t>
  </si>
  <si>
    <t>Mejor conexión a internet, Contenidos mejor adaptados a modalidad virtual</t>
  </si>
  <si>
    <t>Joissy Jiménez Hurtado</t>
  </si>
  <si>
    <t>Caídas frecuentes de plataforma, Lentitud para cargar contenidos, Incompatibilidad con mi dispositivo, Falta de soporte cuando hay problemas</t>
  </si>
  <si>
    <t>Mejor conexión a internet, Capacitación en uso de plataformas, Equipos accesibles para estudiantes, Contenidos mejor adaptados a modalidad virtual</t>
  </si>
  <si>
    <t>Edgar Miranda Inuma</t>
  </si>
  <si>
    <t>Descargar materiales, Entregar tareas, Participar en foros</t>
  </si>
  <si>
    <t>Ninguna de las anteriores</t>
  </si>
  <si>
    <t>Yara Ariana Larrazabal Lunda</t>
  </si>
  <si>
    <t>Celular propio, Laptop propia, PC de casa</t>
  </si>
  <si>
    <t>Datos moviles, wifi en casa, wifi de la institución, sin acceso</t>
  </si>
  <si>
    <t>Caídas frecuentes de plataforma, Lentitud para cargar contenidos, Dificultad para subir archivos/tareas, Incompatibilidad con mi dispositivo</t>
  </si>
  <si>
    <t>Mejor conexión a internet, Equipos accesibles para estudiantes, Contenidos mejor adaptados a modalidad virtual</t>
  </si>
  <si>
    <t>Andy Fernando Rodríguez chao</t>
  </si>
  <si>
    <t>Beca/apoyo institucional</t>
  </si>
  <si>
    <t>Zoom/Google Meet, WhatsApp educativo</t>
  </si>
  <si>
    <t>Caídas frecuentes de plataforma, Lentitud para cargar contenidos, Falta de soporte cuando hay problemas</t>
  </si>
  <si>
    <t>José Alejandro Laguna Delgado</t>
  </si>
  <si>
    <t>Entregar tareas, Presentar evaluaciones</t>
  </si>
  <si>
    <t>Exelente</t>
  </si>
  <si>
    <t>Caídas frecuentes de plataforma, Dificultad para subir archivos/tareas, Problemas de audio/video en vivo</t>
  </si>
  <si>
    <t>Equipos accesibles para estudiantes</t>
  </si>
  <si>
    <t>Emanuel Montenegro Aguilar</t>
  </si>
  <si>
    <t>Datos moviles, wifi en casa, wifi de la institución, wifi pública</t>
  </si>
  <si>
    <t>Leonel cortez Álvarez</t>
  </si>
  <si>
    <t>Sayuri Apaza Apaza</t>
  </si>
  <si>
    <t>Lentitud para cargar contenidos, Problemas de audio/video en vivo</t>
  </si>
  <si>
    <t>Ivan Josue Ramos Alcon</t>
  </si>
  <si>
    <t>Descargar materiales, Entregar tareas, Participar en foros, Presentar evaluaciones, Videoconferencias</t>
  </si>
  <si>
    <t>Mejor conexión a internet, Capacitación en uso de plataformas, Equipos accesibles para estudiantes, Contenidos mejor adaptados a modalidad virtual, Soporte técnico más ágil, Usen Teams o plataformas similares todo en uno</t>
  </si>
  <si>
    <t>Yonathan Abrahan Aro Callisaya</t>
  </si>
  <si>
    <t>Mala</t>
  </si>
  <si>
    <t>Denilson Ramírez Rojas</t>
  </si>
  <si>
    <t>Entregar tareas, Participar en foros, Videoconferencias</t>
  </si>
  <si>
    <t>Caídas frecuentes de plataforma, Dificultad para subir archivos/tareas, Incompatibilidad con mi dispositivo, Falta de soporte cuando hay problemas</t>
  </si>
  <si>
    <t>Fabian Alejandro Lazo Zubieta</t>
  </si>
  <si>
    <t>Equipo de la Institución</t>
  </si>
  <si>
    <t>sin acceso</t>
  </si>
  <si>
    <t>No</t>
  </si>
  <si>
    <t>Descargar materiales</t>
  </si>
  <si>
    <t>Siempre</t>
  </si>
  <si>
    <t>Incompatibilidad con mi dispositivo</t>
  </si>
  <si>
    <t>Kevin Humberto Vargas Espinoza</t>
  </si>
  <si>
    <t>Ingeniería Civil</t>
  </si>
  <si>
    <t>Mejor conexión a internet, Capacitación en uso de plataformas, Equipos accesibles para estudiantes</t>
  </si>
  <si>
    <t>Josias Copa Sivila</t>
  </si>
  <si>
    <t>Lentitud para cargar contenidos, Dificultad para subir archivos/tareas, Incompatibilidad con mi dispositivo</t>
  </si>
  <si>
    <t>Mejor conexión a internet, Capacitación en uso de plataformas, Equipos accesibles para estudiantes, Soporte técnico más ágil</t>
  </si>
  <si>
    <t>Carlos Daniel Mamani Condori</t>
  </si>
  <si>
    <t>Google Classroom, Zoom/Google Meet, Teams</t>
  </si>
  <si>
    <t>Caídas frecuentes de plataforma, Lentitud para cargar contenidos</t>
  </si>
  <si>
    <t>Volver a clases presenciales</t>
  </si>
  <si>
    <t>Lusdariana Jarillo Justiniano</t>
  </si>
  <si>
    <t>Datos moviles, wifi en casa, wifi de la institución</t>
  </si>
  <si>
    <t>Lentitud para cargar contenidos, Dificultad para subir archivos/tareas, Problemas de audio/video en vivo</t>
  </si>
  <si>
    <t>Marcelo Terán Rojas</t>
  </si>
  <si>
    <t>Celular propio, PC de casa</t>
  </si>
  <si>
    <t>Entregar tareas, Videoconferencias</t>
  </si>
  <si>
    <t>Sandra Condori Mamani</t>
  </si>
  <si>
    <t>Dificultad para subir archivos/tareas</t>
  </si>
  <si>
    <t>Carlos Eduardo Alvarez navi</t>
  </si>
  <si>
    <t>Descargar materiales, Entregar tareas, Videoconferencias</t>
  </si>
  <si>
    <t>Caídas frecuentes de plataforma, Lentitud para cargar contenidos, Dificultad para subir archivos/tareas, Problemas de audio/video en vivo</t>
  </si>
  <si>
    <t>Milton Miguel Chávez Chávez</t>
  </si>
  <si>
    <t>LARRI</t>
  </si>
  <si>
    <t>Google Classroom, WhatsApp educativo</t>
  </si>
  <si>
    <t>Leticia Puerta Rocha</t>
  </si>
  <si>
    <t>Entregar tareas, Participar en foros, Presentar evaluaciones</t>
  </si>
  <si>
    <t>Jesus ramón Hurtado ema</t>
  </si>
  <si>
    <t>Celular propio, Laptop propia, Equipo de la Institución</t>
  </si>
  <si>
    <t>Google Classroom, Zoom/Google Meet,</t>
  </si>
  <si>
    <t>Contenidos mejor adaptados a modalidad virtual</t>
  </si>
  <si>
    <t>MARLENY WILLKA CABRERA</t>
  </si>
  <si>
    <t>Datos moviles, wifi pública</t>
  </si>
  <si>
    <t>Descargar materiales, Entregar tareas, Presentar evaluaciones, Videoconferencias</t>
  </si>
  <si>
    <t>Lentitud para cargar contenidos, Dificultad para subir archivos/tareas, Falta de soporte cuando hay problemas</t>
  </si>
  <si>
    <t>DAVID J MARIACA CHIPUNAVI</t>
  </si>
  <si>
    <t>Lisvania Cartagena Nay</t>
  </si>
  <si>
    <t>Sammyr Calef Quispe Limachi</t>
  </si>
  <si>
    <t>Anders Nay Hurtado</t>
  </si>
  <si>
    <t>Descargar materiales, Entregar tareas, Participar en foros, Videoconferencias</t>
  </si>
  <si>
    <t>Yamil Rodrigo Quispe copa</t>
  </si>
  <si>
    <t>Caídas frecuentes de plataforma, Incompatibilidad con mi dispositivo</t>
  </si>
  <si>
    <t>Franz Gilarde Perez</t>
  </si>
  <si>
    <t>Arely idagua ubano</t>
  </si>
  <si>
    <t>Dannyleisi Velasco Ysita</t>
  </si>
  <si>
    <t>Capacitación en uso de plataformas, Equipos accesibles para estudiantes, Contenidos mejor adaptados a modalidad virtual</t>
  </si>
  <si>
    <t>Carlos Gabriel Velarde Ribera</t>
  </si>
  <si>
    <t>Lentitud para cargar contenidos, Problemas de audio/video en vivo, Falta de soporte cuando hay problemas</t>
  </si>
  <si>
    <t>Wendy flores chura</t>
  </si>
  <si>
    <t>Dificultad para subir archivos/tareas, Falta de soporte cuando hay problemas</t>
  </si>
  <si>
    <t>Mejor conexión a internet, Soporte técnico más ágil</t>
  </si>
  <si>
    <t>Diana Lixi saucedo Camaconi</t>
  </si>
  <si>
    <t>IrisNairCarosOliver</t>
  </si>
  <si>
    <t>Belinda Matha Torico</t>
  </si>
  <si>
    <t>Lucia Rado</t>
  </si>
  <si>
    <t>wifi en casa, wifi de la institución</t>
  </si>
  <si>
    <t>Capacitación en uso de plataformas, Contenidos mejor adaptados a modalidad virtual, Prefiero presencial</t>
  </si>
  <si>
    <t>Rodrigo Lozano Garcia</t>
  </si>
  <si>
    <t>Descargar materiales, Videoconferencias</t>
  </si>
  <si>
    <t>Nicolas Uruchi Mendoza</t>
  </si>
  <si>
    <t>Moodle, Zoom/Google Meet, WhatsApp educativo</t>
  </si>
  <si>
    <t>Soporte técnico más ágil</t>
  </si>
  <si>
    <t>Alfredo Ramirez Mamani</t>
  </si>
  <si>
    <t>Germán Ayaviri Negrete</t>
  </si>
  <si>
    <t>Caídas frecuentes de plataforma, Lentitud para cargar contenidos, Dificultad para subir archivos/tareas, Falta de soporte cuando hay problemas</t>
  </si>
  <si>
    <t>Arturo Ayaviri Negrete</t>
  </si>
  <si>
    <t>Caídas frecuentes de plataforma, Dificultad para subir archivos/tareas</t>
  </si>
  <si>
    <t>Nelcy Lucia Ramos Humacata</t>
  </si>
  <si>
    <t>Rey Josué Daza Muzumbita</t>
  </si>
  <si>
    <t>Leonardo Benjamín Guzmán Quispe</t>
  </si>
  <si>
    <t>Lentitud para cargar contenidos, Falta de soporte cuando hay problemas</t>
  </si>
  <si>
    <t>Liz Heidy Brañez Felipe</t>
  </si>
  <si>
    <t>Caídas frecuentes de plataforma, Dificultad para subir archivos/tareas, Problemas de audio/video en vivo, Falta de soporte cuando hay problemas</t>
  </si>
  <si>
    <t>Graciela Yuco Avellaneda</t>
  </si>
  <si>
    <t>KERIN IDAGUA FLORES</t>
  </si>
  <si>
    <t>Ingeniería industrial</t>
  </si>
  <si>
    <t>Henry Loza Quispe</t>
  </si>
  <si>
    <t>Caídas frecuentes de plataforma, Problemas de audio/video en vivo, Ninguna de las anteriores</t>
  </si>
  <si>
    <t>Behycker Daniel Cachiqui Estensoro</t>
  </si>
  <si>
    <t>Moodle, Google Classroom, WhatsApp educativo</t>
  </si>
  <si>
    <t>Diana eliany cabral yapobenda</t>
  </si>
  <si>
    <t>Joshua Antonio Peñaranda Jaimes</t>
  </si>
  <si>
    <t>wifi en casa, wifi de la institución, wifi pública</t>
  </si>
  <si>
    <t>Mejor conexión a internet, Capacitación en uso de plataformas, Equipos accesibles para estudiantes, Contenidos mejor adaptados a modalidad virtual, Soporte técnico más ágil</t>
  </si>
  <si>
    <t>Zoila Zabala Garcia</t>
  </si>
  <si>
    <t>Incompatibilidad con mi dispositivo, Falta de soporte cuando hay problemas</t>
  </si>
  <si>
    <t>Joel Sebas Mamani Quispe</t>
  </si>
  <si>
    <t>Sharon Elizabeth Castañeta Torrez</t>
  </si>
  <si>
    <t>Datos moviles, wifi de la institución, wifi pública</t>
  </si>
  <si>
    <t>Dificultad para subir archivos/tareas, Problemas de audio/video en vivo</t>
  </si>
  <si>
    <t>Mariali Peña Aguilera</t>
  </si>
  <si>
    <t>Mejor conexión a internet, Equipos accesibles para estudiantes, Contenidos mejor adaptados a modalidad virtual, Soporte técnico más ágil</t>
  </si>
  <si>
    <t>Matías Gabriel Tapia Giménez</t>
  </si>
  <si>
    <t>ACPyJ</t>
  </si>
  <si>
    <t>Derecho</t>
  </si>
  <si>
    <t>Participar en foros, Videoconferencias</t>
  </si>
  <si>
    <t>Ian Alexandel Vargas Espinoza</t>
  </si>
  <si>
    <t>Koraima dauddett vela mita</t>
  </si>
  <si>
    <t>Caídas frecuentes de plataforma, Lentitud para cargar contenidos, Dificultad para subir archivos/tareas, Problemas de audio/video en vivo, Incompatibilidad con mi dispositivo</t>
  </si>
  <si>
    <t>Lizbeth M. Canqui Rojas</t>
  </si>
  <si>
    <t>Caídas frecuentes de plataforma, Lentitud para cargar contenidos, Problemas de audio/video en vivo, Incompatibilidad con mi dispositivo</t>
  </si>
  <si>
    <t>Bertha Celina</t>
  </si>
  <si>
    <t>ACBN</t>
  </si>
  <si>
    <t>Medicina veterinaria y zootecnia</t>
  </si>
  <si>
    <t>Entregar tareas, Participar en foros</t>
  </si>
  <si>
    <t>Problemas de audio/video en vivo</t>
  </si>
  <si>
    <t>Jhon Carlo Lucia Fong</t>
  </si>
  <si>
    <t>Caídas frecuentes de plataforma, Dificultad para subir archivos/tareas, Falta de soporte cuando hay problemas</t>
  </si>
  <si>
    <t>Equipos accesibles para estudiantes, Contenidos mejor adaptados a modalidad virtual, Soporte técnico más ágil</t>
  </si>
  <si>
    <t>Rodrigo Gomez Villca</t>
  </si>
  <si>
    <t>Melina Flores Beltran</t>
  </si>
  <si>
    <t>Moodle, Google Classroom, Zoom/Google Meet, WhatsApp educativo,</t>
  </si>
  <si>
    <t>CRUZ PAREDES PLÁCIDO RAÚL</t>
  </si>
  <si>
    <t>PC de casa</t>
  </si>
  <si>
    <t>Diego Rafael Lunda Rodriguez</t>
  </si>
  <si>
    <t>Susan Jessica Reyno Cuellar</t>
  </si>
  <si>
    <t>Katty Marioly Cabrera Mamani</t>
  </si>
  <si>
    <t>Sergio Amilcar Ayala Taraune</t>
  </si>
  <si>
    <t>Mejor conexión a internet, Contenidos mejor adaptados a modalidad virtual, Soporte técnico más ágil</t>
  </si>
  <si>
    <t>Ricardo Andres Mayta</t>
  </si>
  <si>
    <t>Guadalupe Scarly Muñoz Guzmán</t>
  </si>
  <si>
    <t>Erminia Ejuro Zapata</t>
  </si>
  <si>
    <t>Jair Noto Enriquez</t>
  </si>
  <si>
    <t>Americo Daniel Bonifacio Silva</t>
  </si>
  <si>
    <t>Mijhael Angel Quispe Yujra</t>
  </si>
  <si>
    <t>Caídas frecuentes de plataforma, Problemas de audio/video en vivo</t>
  </si>
  <si>
    <t>Osley Kimuel Coro Villca</t>
  </si>
  <si>
    <t>Gerson Eduardo Lopez Barroso</t>
  </si>
  <si>
    <t>Leonardo Gabriel Vega Tirado</t>
  </si>
  <si>
    <t>Contenidos mejor adaptados a modalidad virtual, Soporte técnico más ágil</t>
  </si>
  <si>
    <t>Camila Belén Aliaga Zuleta</t>
  </si>
  <si>
    <t>ACS</t>
  </si>
  <si>
    <t>Medicina</t>
  </si>
  <si>
    <t>Lentitud para cargar contenidos, Problemas de audio/video en vivo, Incompatibilidad con mi dispositivo, Falta de soporte cuando hay problemas</t>
  </si>
  <si>
    <t>Grover Nahum Velasquez Ferrufino</t>
  </si>
  <si>
    <t>Marcelo coca</t>
  </si>
  <si>
    <t>Ana Jessica Alcon Vacaflor</t>
  </si>
  <si>
    <t>Shelbyn Andres Aguada Huary</t>
  </si>
  <si>
    <t>Datos moviles, wifi de la institución</t>
  </si>
  <si>
    <t>Brenda Esther Chambi Choque</t>
  </si>
  <si>
    <t>Moodle, Zoom/Google Meet</t>
  </si>
  <si>
    <t>Joseph F Alba Arembay</t>
  </si>
  <si>
    <t>Capacitación en uso de plataformas, Contenidos mejor adaptados a modalidad virtual</t>
  </si>
  <si>
    <t>Maria Alisei Chávez Loza</t>
  </si>
  <si>
    <t>Jesus tangara Bernabé</t>
  </si>
  <si>
    <t>Lentitud para cargar contenidos, Incompatibilidad con mi dispositivo</t>
  </si>
  <si>
    <t>Jeans Maikol Yupanqui Villca</t>
  </si>
  <si>
    <t>MARIA MAGDALENA PINTO ANTELO</t>
  </si>
  <si>
    <t>Ingeniería Financiera</t>
  </si>
  <si>
    <t>Lentitud para cargar contenidos, Problemas de audio/video en vivo, Incompatibilidad con mi dispositivo</t>
  </si>
  <si>
    <t>Diego Vargas Camacho</t>
  </si>
  <si>
    <t>Rodrigo Apaza Garreth</t>
  </si>
  <si>
    <t>ANDREZ LUIZ AGUADA DE JESUS</t>
  </si>
  <si>
    <t>Dayamy muiba</t>
  </si>
  <si>
    <t>Isabela Kramer Alpire</t>
  </si>
  <si>
    <t>Deysi Katerine Callisaya Quino</t>
  </si>
  <si>
    <t>EMILIANO</t>
  </si>
  <si>
    <t>Mariana Acuña Beramendi</t>
  </si>
  <si>
    <t>Jakson Cartagena Chamarro</t>
  </si>
  <si>
    <t>FERNANDA NAVI ALENCAR</t>
  </si>
  <si>
    <t>Dayra Dayanara Chavez Cortez</t>
  </si>
  <si>
    <t>Micaela Alejo Costa</t>
  </si>
  <si>
    <t>Eliezer Quete Tupa</t>
  </si>
  <si>
    <t>Videoconferencias</t>
  </si>
  <si>
    <t>Alison Fabiola Quispe Copa</t>
  </si>
  <si>
    <t>Google Classroom, Zoom/Google Meet, WhatsApp educativo,</t>
  </si>
  <si>
    <t>Capacitación en uso de plataformas, Equipos accesibles para estudiantes</t>
  </si>
  <si>
    <t>Leibnitz Salvatierra yubaneres</t>
  </si>
  <si>
    <t>Lentitud para cargar contenidos, Dificultad para subir archivos/tareas, Problemas de audio/video en vivo, Incompatibilidad con mi dispositivo</t>
  </si>
  <si>
    <t>Hilary Castro Gonzáles</t>
  </si>
  <si>
    <t>Moodle, Google Classroom, Zoom/Google Meet,</t>
  </si>
  <si>
    <t>Cecilia Cuellar Lopez</t>
  </si>
  <si>
    <t>Tarcisio Karl Chávez Balcazar</t>
  </si>
  <si>
    <t>Wesly miranda chavez</t>
  </si>
  <si>
    <t>Caídas frecuentes de plataforma</t>
  </si>
  <si>
    <t>Ever Gutierrez Balboa</t>
  </si>
  <si>
    <t>Favio Alejandro Veliz Mariaca</t>
  </si>
  <si>
    <t>Maiky Suarez Rodriguez</t>
  </si>
  <si>
    <t>Mejor conexión a internet, Que los docente estén capacitados en el uso de herramientas y plataformas digitales, ya que muchos no saben usar las plataformas mas actuales</t>
  </si>
  <si>
    <t>Ana Belen Mamani Lima</t>
  </si>
  <si>
    <t>Sherin Katiuska Barbery Willy</t>
  </si>
  <si>
    <t>ACSyH</t>
  </si>
  <si>
    <t>Psicología</t>
  </si>
  <si>
    <t>Dificultad para subir archivos/tareas, Incompatibilidad con mi dispositivo</t>
  </si>
  <si>
    <t>Mishel Gadella Ferreira</t>
  </si>
  <si>
    <t>Hilary López Fernández</t>
  </si>
  <si>
    <t>Yara Mishell Marupa Mariaca</t>
  </si>
  <si>
    <t>Yordan Callisaya Fernández</t>
  </si>
  <si>
    <t>Caídas frecuentes de plataforma, Problemas de audio/video en vivo, Falta de soporte cuando hay problemas</t>
  </si>
  <si>
    <t>Capacitación en uso de plataformas, Contenidos mejor adaptados a modalidad virtual, Soporte técnico más ágil</t>
  </si>
  <si>
    <t>Karumi Nayara Hurtado Mendez</t>
  </si>
  <si>
    <t>DARIANA PAJA ARDAYA</t>
  </si>
  <si>
    <t>LORENA RAMOS ESCOBAR</t>
  </si>
  <si>
    <t>Elva Nayely Meza Acosta</t>
  </si>
  <si>
    <t>Griselda Verónica Manuel Quispe</t>
  </si>
  <si>
    <t>Yerko Marcelo Pantoja Azurduy</t>
  </si>
  <si>
    <t>LALEZKA NAHOMI INO BAZAN</t>
  </si>
  <si>
    <t>Aymar Estrella Cuata Chao</t>
  </si>
  <si>
    <t>Zoom/Google Meet, Drive</t>
  </si>
  <si>
    <t>Merlyn Naomy Sobrino Gonzales</t>
  </si>
  <si>
    <t>Problemas de audio/video en vivo, Incompatibilidad con mi dispositivo</t>
  </si>
  <si>
    <t>Johisy Lizeth Mercado Romero</t>
  </si>
  <si>
    <t>Gladys Laura Cuba Huanca</t>
  </si>
  <si>
    <t>Noelia Vilas Morales</t>
  </si>
  <si>
    <t>Problemas de audio/video en vivo, Incompatibilidad con mi dispositivo, Falta de soporte cuando hay problemas</t>
  </si>
  <si>
    <t>Ingrid ladys macochoa romero</t>
  </si>
  <si>
    <t>René Richard Arias Astulla</t>
  </si>
  <si>
    <t>Valery Yamira Flores Nina</t>
  </si>
  <si>
    <t>Mejor conexión a internet, Capacitación en uso de plataformas, Contenidos mejor adaptados a modalidad virtual, Soporte técnico más ágil</t>
  </si>
  <si>
    <t>Lisandre Rodriguez Ubano</t>
  </si>
  <si>
    <t>ELA GONGORA PORTALES</t>
  </si>
  <si>
    <t>Keyla Daniela Romero Vaca</t>
  </si>
  <si>
    <t>Edwin Brandon Rodriguez Chalco</t>
  </si>
  <si>
    <t>Narvi Ydiola Salvatierra Vargas</t>
  </si>
  <si>
    <t>Ariadna Juliana Avila hurtado</t>
  </si>
  <si>
    <t>Equipos accesibles para estudiantes, Contenidos mejor adaptados a modalidad virtual</t>
  </si>
  <si>
    <t>Diego Velasquez Ramirez</t>
  </si>
  <si>
    <t>Yiceli Jasmina Cuadiay Guanuni</t>
  </si>
  <si>
    <t>Google Classroom</t>
  </si>
  <si>
    <t>Irene Chura Mamani</t>
  </si>
  <si>
    <t>Que los docentes se acostumbren a usar las plataformas porque se incomodan que le sacan del sistema no todos los docentes solo algunos ...deben de tener mas practicas para no esos inconvenientes con las plataformas virtuales</t>
  </si>
  <si>
    <t>Edwin Daniel Filgueira Gutierrez</t>
  </si>
  <si>
    <t>Mejor conexión a internet, Capacitación en uso de plataformas, Equipos accesibles para estudiantes, Contenidos mejor adaptados a modalidad virtual, Soporte técnico más ágil, nuevas implementaciones más avanzadas en plataformas en modalidad virtual con más ganas.</t>
  </si>
  <si>
    <t>Victoria oliva chavez</t>
  </si>
  <si>
    <t>Sandra Quispe Vera</t>
  </si>
  <si>
    <t>Yaquelin Bertha Vargas Moya</t>
  </si>
  <si>
    <t>Vanessa Danitza Viadez Canaza</t>
  </si>
  <si>
    <t>Jennifer Sabrina Arrazola Brañez</t>
  </si>
  <si>
    <t>Narel Jhandyra López Delgadillo</t>
  </si>
  <si>
    <t>Liyiany Zumaeta Paz</t>
  </si>
  <si>
    <t>Darwin Junior Araujo Balcázar</t>
  </si>
  <si>
    <t>IVETTE SANDRA PEREZ RAMIREZ</t>
  </si>
  <si>
    <t>Ingar Antelo Arteaga</t>
  </si>
  <si>
    <t>Jeremias Gutierrez Poma</t>
  </si>
  <si>
    <t>Mejor conexión a internet, Capacitación en uso de plataformas, Soporte técnico más ágil</t>
  </si>
  <si>
    <t>Julio Becerra Mendez</t>
  </si>
  <si>
    <t>Jhannet Eliana Mamani Guarachi</t>
  </si>
  <si>
    <t>JOSIENE PEDROSO LOPEZ</t>
  </si>
  <si>
    <t>Cristian Bladimir Rios Cardenas</t>
  </si>
  <si>
    <t>Angela Beatriz Ramos Paton</t>
  </si>
  <si>
    <t>Meily Fernández Endara</t>
  </si>
  <si>
    <t>Dispositivos</t>
  </si>
  <si>
    <t>Frecuencia</t>
  </si>
  <si>
    <t>Porcentaje</t>
  </si>
  <si>
    <t>Responsable</t>
  </si>
  <si>
    <t>Tipo de conexión</t>
  </si>
  <si>
    <t>Frecuecia</t>
  </si>
  <si>
    <t>Espacio de estudio</t>
  </si>
  <si>
    <t>Celular Propio</t>
  </si>
  <si>
    <t>Si, siempre</t>
  </si>
  <si>
    <t>Laptop Propia</t>
  </si>
  <si>
    <t>Wifi en casa</t>
  </si>
  <si>
    <t>Pc de casa</t>
  </si>
  <si>
    <t>Wifi de institucion</t>
  </si>
  <si>
    <t>Equipo de la Institucion</t>
  </si>
  <si>
    <t>No tengo acceso constante</t>
  </si>
  <si>
    <t>Wifi pública</t>
  </si>
  <si>
    <t>Facultad</t>
  </si>
  <si>
    <t>Limitaciones técnicas</t>
  </si>
  <si>
    <t>Calidad de conexión</t>
  </si>
  <si>
    <t>Frecuencia de interrupciones</t>
  </si>
  <si>
    <t>Falta de soporte cuando hay problemas</t>
  </si>
  <si>
    <t>INFRAESTRUCTURA TECNOLOGICA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</si>
</sst>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5" borderId="0" xfId="0" applyFill="1" applyAlignment="1">
      <alignment wrapText="1"/>
    </xf>
    <xf numFmtId="0" fontId="2" fillId="6" borderId="0" xfId="0" applyFont="1" applyFill="1" applyAlignment="1">
      <alignment wrapText="1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 de dispositivos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Tabulacion!$B$1</c:f>
              <c:strCache>
                <c:ptCount val="1"/>
                <c:pt idx="0">
                  <c:v>Frecuencia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21-49CA-A3A7-31DC1F5094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21-49CA-A3A7-31DC1F5094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21-49CA-A3A7-31DC1F5094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321-49CA-A3A7-31DC1F5094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Tabulacion!$A$2:$A$5</c:f>
              <c:strCache>
                <c:ptCount val="4"/>
                <c:pt idx="0">
                  <c:v>Celular Propio</c:v>
                </c:pt>
                <c:pt idx="1">
                  <c:v>Laptop Propia</c:v>
                </c:pt>
                <c:pt idx="2">
                  <c:v>Pc de casa</c:v>
                </c:pt>
                <c:pt idx="3">
                  <c:v>Equipo de la Institucion</c:v>
                </c:pt>
              </c:strCache>
            </c:strRef>
          </c:cat>
          <c:val>
            <c:numRef>
              <c:f>Tabulacion!$B$2:$B$5</c:f>
              <c:numCache>
                <c:formatCode>General</c:formatCode>
                <c:ptCount val="4"/>
                <c:pt idx="0">
                  <c:v>156</c:v>
                </c:pt>
                <c:pt idx="1">
                  <c:v>65</c:v>
                </c:pt>
                <c:pt idx="2">
                  <c:v>12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A-4CB8-8644-709B171ABEB1}"/>
            </c:ext>
          </c:extLst>
        </c:ser>
        <c:ser>
          <c:idx val="1"/>
          <c:order val="1"/>
          <c:tx>
            <c:strRef>
              <c:f>Tabulacion!$C$1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321-49CA-A3A7-31DC1F5094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321-49CA-A3A7-31DC1F5094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321-49CA-A3A7-31DC1F5094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321-49CA-A3A7-31DC1F5094D9}"/>
              </c:ext>
            </c:extLst>
          </c:dPt>
          <c:cat>
            <c:strRef>
              <c:f>Tabulacion!$A$2:$A$5</c:f>
              <c:strCache>
                <c:ptCount val="4"/>
                <c:pt idx="0">
                  <c:v>Celular Propio</c:v>
                </c:pt>
                <c:pt idx="1">
                  <c:v>Laptop Propia</c:v>
                </c:pt>
                <c:pt idx="2">
                  <c:v>Pc de casa</c:v>
                </c:pt>
                <c:pt idx="3">
                  <c:v>Equipo de la Institucion</c:v>
                </c:pt>
              </c:strCache>
            </c:strRef>
          </c:cat>
          <c:val>
            <c:numRef>
              <c:f>Tabulacion!$C$2:$C$5</c:f>
              <c:numCache>
                <c:formatCode>0.00%</c:formatCode>
                <c:ptCount val="4"/>
                <c:pt idx="0">
                  <c:v>0.64730290456431538</c:v>
                </c:pt>
                <c:pt idx="1">
                  <c:v>0.26970954356846472</c:v>
                </c:pt>
                <c:pt idx="2">
                  <c:v>4.9792531120331947E-2</c:v>
                </c:pt>
                <c:pt idx="3">
                  <c:v>3.3195020746887967E-2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A-4CB8-8644-709B171AB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¿Quién cubre el costo de tu conexión a internet?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Tabulacion!$F$1</c:f>
              <c:strCache>
                <c:ptCount val="1"/>
                <c:pt idx="0">
                  <c:v>Frecuencia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F3-4F75-B123-6184BE66DE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F3-4F75-B123-6184BE66DE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F3-4F75-B123-6184BE66DE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DF3-4F75-B123-6184BE66DE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Tabulacion!$E$2:$E$5</c:f>
              <c:strCache>
                <c:ptCount val="4"/>
                <c:pt idx="0">
                  <c:v>Familia</c:v>
                </c:pt>
                <c:pt idx="1">
                  <c:v>Yo mismo</c:v>
                </c:pt>
                <c:pt idx="2">
                  <c:v>Beca/apoyo institucional</c:v>
                </c:pt>
                <c:pt idx="3">
                  <c:v>No tengo acceso constante</c:v>
                </c:pt>
              </c:strCache>
            </c:strRef>
          </c:cat>
          <c:val>
            <c:numRef>
              <c:f>Tabulacion!$F$2:$F$5</c:f>
              <c:numCache>
                <c:formatCode>General</c:formatCode>
                <c:ptCount val="4"/>
                <c:pt idx="0">
                  <c:v>80</c:v>
                </c:pt>
                <c:pt idx="1">
                  <c:v>78</c:v>
                </c:pt>
                <c:pt idx="2">
                  <c:v>2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B-482B-8C73-F9E251C441BD}"/>
            </c:ext>
          </c:extLst>
        </c:ser>
        <c:ser>
          <c:idx val="1"/>
          <c:order val="1"/>
          <c:tx>
            <c:strRef>
              <c:f>Tabulacion!$G$1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DF3-4F75-B123-6184BE66DE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DF3-4F75-B123-6184BE66DE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DF3-4F75-B123-6184BE66DE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DF3-4F75-B123-6184BE66DEBC}"/>
              </c:ext>
            </c:extLst>
          </c:dPt>
          <c:cat>
            <c:strRef>
              <c:f>Tabulacion!$E$2:$E$5</c:f>
              <c:strCache>
                <c:ptCount val="4"/>
                <c:pt idx="0">
                  <c:v>Familia</c:v>
                </c:pt>
                <c:pt idx="1">
                  <c:v>Yo mismo</c:v>
                </c:pt>
                <c:pt idx="2">
                  <c:v>Beca/apoyo institucional</c:v>
                </c:pt>
                <c:pt idx="3">
                  <c:v>No tengo acceso constante</c:v>
                </c:pt>
              </c:strCache>
            </c:strRef>
          </c:cat>
          <c:val>
            <c:numRef>
              <c:f>Tabulacion!$G$2:$G$5</c:f>
              <c:numCache>
                <c:formatCode>0.00%</c:formatCode>
                <c:ptCount val="4"/>
                <c:pt idx="0">
                  <c:v>0.46242774566473988</c:v>
                </c:pt>
                <c:pt idx="1">
                  <c:v>0.45086705202312138</c:v>
                </c:pt>
                <c:pt idx="2">
                  <c:v>1.1560693641618497E-2</c:v>
                </c:pt>
                <c:pt idx="3">
                  <c:v>7.5144508670520235E-2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4B-482B-8C73-F9E251C44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Tipos de Conexión</a:t>
            </a:r>
          </a:p>
        </c:rich>
      </c:tx>
      <c:layout>
        <c:manualLayout>
          <c:xMode val="edge"/>
          <c:yMode val="edge"/>
          <c:x val="0.3283888888888889"/>
          <c:y val="3.4722243414984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Tabulacion!$J$1</c:f>
              <c:strCache>
                <c:ptCount val="1"/>
                <c:pt idx="0">
                  <c:v>Frecuecia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F-4201-8E85-081060BA83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F-4201-8E85-081060BA83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EF-4201-8E85-081060BA83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2EF-4201-8E85-081060BA83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Tabulacion!$I$2:$I$5</c:f>
              <c:strCache>
                <c:ptCount val="4"/>
                <c:pt idx="0">
                  <c:v>Datos moviles</c:v>
                </c:pt>
                <c:pt idx="1">
                  <c:v>Wifi en casa</c:v>
                </c:pt>
                <c:pt idx="2">
                  <c:v>Wifi de institucion</c:v>
                </c:pt>
                <c:pt idx="3">
                  <c:v>Wifi pública</c:v>
                </c:pt>
              </c:strCache>
            </c:strRef>
          </c:cat>
          <c:val>
            <c:numRef>
              <c:f>Tabulacion!$J$2:$J$5</c:f>
              <c:numCache>
                <c:formatCode>General</c:formatCode>
                <c:ptCount val="4"/>
                <c:pt idx="0">
                  <c:v>92</c:v>
                </c:pt>
                <c:pt idx="1">
                  <c:v>115</c:v>
                </c:pt>
                <c:pt idx="2">
                  <c:v>33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5-4166-A1A0-F8A1CA5627EE}"/>
            </c:ext>
          </c:extLst>
        </c:ser>
        <c:ser>
          <c:idx val="1"/>
          <c:order val="1"/>
          <c:tx>
            <c:strRef>
              <c:f>Tabulacion!$K$1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2EF-4201-8E85-081060BA83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2EF-4201-8E85-081060BA83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2EF-4201-8E85-081060BA83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2EF-4201-8E85-081060BA83B9}"/>
              </c:ext>
            </c:extLst>
          </c:dPt>
          <c:cat>
            <c:strRef>
              <c:f>Tabulacion!$I$2:$I$5</c:f>
              <c:strCache>
                <c:ptCount val="4"/>
                <c:pt idx="0">
                  <c:v>Datos moviles</c:v>
                </c:pt>
                <c:pt idx="1">
                  <c:v>Wifi en casa</c:v>
                </c:pt>
                <c:pt idx="2">
                  <c:v>Wifi de institucion</c:v>
                </c:pt>
                <c:pt idx="3">
                  <c:v>Wifi pública</c:v>
                </c:pt>
              </c:strCache>
            </c:strRef>
          </c:cat>
          <c:val>
            <c:numRef>
              <c:f>Tabulacion!$K$2:$K$5</c:f>
              <c:numCache>
                <c:formatCode>0.00%</c:formatCode>
                <c:ptCount val="4"/>
                <c:pt idx="0">
                  <c:v>0.37096774193548387</c:v>
                </c:pt>
                <c:pt idx="1">
                  <c:v>0.46370967741935482</c:v>
                </c:pt>
                <c:pt idx="2">
                  <c:v>0.13306451612903225</c:v>
                </c:pt>
                <c:pt idx="3">
                  <c:v>3.2258064516129031E-2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A5-4166-A1A0-F8A1CA562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¿Cuenta con un espacio de estudio tranquilo?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Tabulacion!$N$1</c:f>
              <c:strCache>
                <c:ptCount val="1"/>
                <c:pt idx="0">
                  <c:v>Frecuencia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9F-4624-9397-B48CE7134F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9F-4624-9397-B48CE7134F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9F-4624-9397-B48CE7134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Tabulacion!$M$2:$M$4</c:f>
              <c:strCache>
                <c:ptCount val="3"/>
                <c:pt idx="0">
                  <c:v>Si, siempre</c:v>
                </c:pt>
                <c:pt idx="1">
                  <c:v>Aveces</c:v>
                </c:pt>
                <c:pt idx="2">
                  <c:v>Nunca</c:v>
                </c:pt>
              </c:strCache>
            </c:strRef>
          </c:cat>
          <c:val>
            <c:numRef>
              <c:f>Tabulacion!$N$2:$N$4</c:f>
              <c:numCache>
                <c:formatCode>General</c:formatCode>
                <c:ptCount val="3"/>
                <c:pt idx="0">
                  <c:v>62</c:v>
                </c:pt>
                <c:pt idx="1">
                  <c:v>101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B-4A37-AA27-8A9F526B9D06}"/>
            </c:ext>
          </c:extLst>
        </c:ser>
        <c:ser>
          <c:idx val="1"/>
          <c:order val="1"/>
          <c:tx>
            <c:strRef>
              <c:f>Tabulacion!$O$1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C9F-4624-9397-B48CE7134F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C9F-4624-9397-B48CE7134F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C9F-4624-9397-B48CE7134F09}"/>
              </c:ext>
            </c:extLst>
          </c:dPt>
          <c:cat>
            <c:strRef>
              <c:f>Tabulacion!$M$2:$M$4</c:f>
              <c:strCache>
                <c:ptCount val="3"/>
                <c:pt idx="0">
                  <c:v>Si, siempre</c:v>
                </c:pt>
                <c:pt idx="1">
                  <c:v>Aveces</c:v>
                </c:pt>
                <c:pt idx="2">
                  <c:v>Nunca</c:v>
                </c:pt>
              </c:strCache>
            </c:strRef>
          </c:cat>
          <c:val>
            <c:numRef>
              <c:f>Tabulacion!$O$2:$O$4</c:f>
              <c:numCache>
                <c:formatCode>0.00%</c:formatCode>
                <c:ptCount val="3"/>
                <c:pt idx="0">
                  <c:v>0.3583815028901734</c:v>
                </c:pt>
                <c:pt idx="1">
                  <c:v>0.58381502890173409</c:v>
                </c:pt>
                <c:pt idx="2">
                  <c:v>5.7803468208092484E-2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8B-4A37-AA27-8A9F526B9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Facultad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Tabulacion!$B$27</c:f>
              <c:strCache>
                <c:ptCount val="1"/>
                <c:pt idx="0">
                  <c:v>Frecuencia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F2-477F-B066-BD32FB8E19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F2-477F-B066-BD32FB8E19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F2-477F-B066-BD32FB8E19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889-4B89-99A7-6C4A8DEC1D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889-4B89-99A7-6C4A8DEC1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Tabulacion!$A$28:$A$32</c:f>
              <c:strCache>
                <c:ptCount val="5"/>
                <c:pt idx="0">
                  <c:v>ACyT</c:v>
                </c:pt>
                <c:pt idx="1">
                  <c:v>ACSyH</c:v>
                </c:pt>
                <c:pt idx="2">
                  <c:v>ACPyJ</c:v>
                </c:pt>
                <c:pt idx="3">
                  <c:v>ACBN</c:v>
                </c:pt>
                <c:pt idx="4">
                  <c:v>ACS</c:v>
                </c:pt>
              </c:strCache>
            </c:strRef>
          </c:cat>
          <c:val>
            <c:numRef>
              <c:f>Tabulacion!$B$28:$B$32</c:f>
              <c:numCache>
                <c:formatCode>General</c:formatCode>
                <c:ptCount val="5"/>
                <c:pt idx="0">
                  <c:v>123</c:v>
                </c:pt>
                <c:pt idx="1">
                  <c:v>47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7-419A-BF65-9C77E880072E}"/>
            </c:ext>
          </c:extLst>
        </c:ser>
        <c:ser>
          <c:idx val="1"/>
          <c:order val="1"/>
          <c:tx>
            <c:strRef>
              <c:f>Tabulacion!$C$27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F2-477F-B066-BD32FB8E19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7F2-477F-B066-BD32FB8E19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7F2-477F-B066-BD32FB8E19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889-4B89-99A7-6C4A8DEC1D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889-4B89-99A7-6C4A8DEC1D67}"/>
              </c:ext>
            </c:extLst>
          </c:dPt>
          <c:cat>
            <c:strRef>
              <c:f>Tabulacion!$A$28:$A$32</c:f>
              <c:strCache>
                <c:ptCount val="5"/>
                <c:pt idx="0">
                  <c:v>ACyT</c:v>
                </c:pt>
                <c:pt idx="1">
                  <c:v>ACSyH</c:v>
                </c:pt>
                <c:pt idx="2">
                  <c:v>ACPyJ</c:v>
                </c:pt>
                <c:pt idx="3">
                  <c:v>ACBN</c:v>
                </c:pt>
                <c:pt idx="4">
                  <c:v>ACS</c:v>
                </c:pt>
              </c:strCache>
            </c:strRef>
          </c:cat>
          <c:val>
            <c:numRef>
              <c:f>Tabulacion!$C$28:$C$32</c:f>
              <c:numCache>
                <c:formatCode>0.00%</c:formatCode>
                <c:ptCount val="5"/>
                <c:pt idx="0">
                  <c:v>0.71098265895953761</c:v>
                </c:pt>
                <c:pt idx="1">
                  <c:v>0.27167630057803466</c:v>
                </c:pt>
                <c:pt idx="2">
                  <c:v>5.7803468208092483E-3</c:v>
                </c:pt>
                <c:pt idx="3">
                  <c:v>5.7803468208092483E-3</c:v>
                </c:pt>
                <c:pt idx="4">
                  <c:v>5.7803468208092483E-3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F7-419A-BF65-9C77E8800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Calidad de conexión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Tabulacion!$J$27</c:f>
              <c:strCache>
                <c:ptCount val="1"/>
                <c:pt idx="0">
                  <c:v>Frecuecia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98-4078-B3DA-223F7C2526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98-4078-B3DA-223F7C2526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98-4078-B3DA-223F7C2526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98-4078-B3DA-223F7C2526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498-4078-B3DA-223F7C2526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Tabulacion!$I$28:$I$32</c:f>
              <c:strCache>
                <c:ptCount val="5"/>
                <c:pt idx="0">
                  <c:v>Exelente</c:v>
                </c:pt>
                <c:pt idx="1">
                  <c:v>Buena</c:v>
                </c:pt>
                <c:pt idx="2">
                  <c:v>Regular</c:v>
                </c:pt>
                <c:pt idx="3">
                  <c:v>Mala</c:v>
                </c:pt>
                <c:pt idx="4">
                  <c:v>Muy mala</c:v>
                </c:pt>
              </c:strCache>
            </c:strRef>
          </c:cat>
          <c:val>
            <c:numRef>
              <c:f>Tabulacion!$J$28:$J$32</c:f>
              <c:numCache>
                <c:formatCode>General</c:formatCode>
                <c:ptCount val="5"/>
                <c:pt idx="0">
                  <c:v>6</c:v>
                </c:pt>
                <c:pt idx="1">
                  <c:v>39</c:v>
                </c:pt>
                <c:pt idx="2">
                  <c:v>101</c:v>
                </c:pt>
                <c:pt idx="3">
                  <c:v>14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7-41DB-A80D-93970AC609F4}"/>
            </c:ext>
          </c:extLst>
        </c:ser>
        <c:ser>
          <c:idx val="1"/>
          <c:order val="1"/>
          <c:tx>
            <c:strRef>
              <c:f>Tabulacion!$K$27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498-4078-B3DA-223F7C2526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498-4078-B3DA-223F7C2526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498-4078-B3DA-223F7C2526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498-4078-B3DA-223F7C2526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498-4078-B3DA-223F7C2526F0}"/>
              </c:ext>
            </c:extLst>
          </c:dPt>
          <c:cat>
            <c:strRef>
              <c:f>Tabulacion!$I$28:$I$32</c:f>
              <c:strCache>
                <c:ptCount val="5"/>
                <c:pt idx="0">
                  <c:v>Exelente</c:v>
                </c:pt>
                <c:pt idx="1">
                  <c:v>Buena</c:v>
                </c:pt>
                <c:pt idx="2">
                  <c:v>Regular</c:v>
                </c:pt>
                <c:pt idx="3">
                  <c:v>Mala</c:v>
                </c:pt>
                <c:pt idx="4">
                  <c:v>Muy mala</c:v>
                </c:pt>
              </c:strCache>
            </c:strRef>
          </c:cat>
          <c:val>
            <c:numRef>
              <c:f>Tabulacion!$K$28:$K$32</c:f>
              <c:numCache>
                <c:formatCode>0.00%</c:formatCode>
                <c:ptCount val="5"/>
                <c:pt idx="0">
                  <c:v>3.4682080924855488E-2</c:v>
                </c:pt>
                <c:pt idx="1">
                  <c:v>0.22543352601156069</c:v>
                </c:pt>
                <c:pt idx="2">
                  <c:v>0.58381502890173409</c:v>
                </c:pt>
                <c:pt idx="3">
                  <c:v>8.0924855491329481E-2</c:v>
                </c:pt>
                <c:pt idx="4">
                  <c:v>7.5144508670520235E-2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87-41DB-A80D-93970AC60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Frecuencia de interrupciones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Tabulacion!$N$27</c:f>
              <c:strCache>
                <c:ptCount val="1"/>
                <c:pt idx="0">
                  <c:v>Frecuencia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40-45AC-A7D4-9F5D0C18BE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40-45AC-A7D4-9F5D0C18BE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40-45AC-A7D4-9F5D0C18BE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40-45AC-A7D4-9F5D0C18BE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A40-45AC-A7D4-9F5D0C18BE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Tabulacion!$M$28:$M$32</c:f>
              <c:strCache>
                <c:ptCount val="5"/>
                <c:pt idx="0">
                  <c:v>Nunca</c:v>
                </c:pt>
                <c:pt idx="1">
                  <c:v>Raramente</c:v>
                </c:pt>
                <c:pt idx="2">
                  <c:v>Aveces</c:v>
                </c:pt>
                <c:pt idx="3">
                  <c:v>Frecuentemente</c:v>
                </c:pt>
                <c:pt idx="4">
                  <c:v>Siempre</c:v>
                </c:pt>
              </c:strCache>
            </c:strRef>
          </c:cat>
          <c:val>
            <c:numRef>
              <c:f>Tabulacion!$N$28:$N$32</c:f>
              <c:numCache>
                <c:formatCode>General</c:formatCode>
                <c:ptCount val="5"/>
                <c:pt idx="0">
                  <c:v>5</c:v>
                </c:pt>
                <c:pt idx="1">
                  <c:v>46</c:v>
                </c:pt>
                <c:pt idx="2">
                  <c:v>90</c:v>
                </c:pt>
                <c:pt idx="3">
                  <c:v>23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0-4BF0-9BB5-D6BB7A402A31}"/>
            </c:ext>
          </c:extLst>
        </c:ser>
        <c:ser>
          <c:idx val="1"/>
          <c:order val="1"/>
          <c:tx>
            <c:strRef>
              <c:f>Tabulacion!$O$27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A40-45AC-A7D4-9F5D0C18BE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A40-45AC-A7D4-9F5D0C18BE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A40-45AC-A7D4-9F5D0C18BE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A40-45AC-A7D4-9F5D0C18BE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A40-45AC-A7D4-9F5D0C18BE6C}"/>
              </c:ext>
            </c:extLst>
          </c:dPt>
          <c:cat>
            <c:strRef>
              <c:f>Tabulacion!$M$28:$M$32</c:f>
              <c:strCache>
                <c:ptCount val="5"/>
                <c:pt idx="0">
                  <c:v>Nunca</c:v>
                </c:pt>
                <c:pt idx="1">
                  <c:v>Raramente</c:v>
                </c:pt>
                <c:pt idx="2">
                  <c:v>Aveces</c:v>
                </c:pt>
                <c:pt idx="3">
                  <c:v>Frecuentemente</c:v>
                </c:pt>
                <c:pt idx="4">
                  <c:v>Siempre</c:v>
                </c:pt>
              </c:strCache>
            </c:strRef>
          </c:cat>
          <c:val>
            <c:numRef>
              <c:f>Tabulacion!$O$28:$O$32</c:f>
              <c:numCache>
                <c:formatCode>0.00%</c:formatCode>
                <c:ptCount val="5"/>
                <c:pt idx="0">
                  <c:v>2.8901734104046242E-2</c:v>
                </c:pt>
                <c:pt idx="1">
                  <c:v>0.26589595375722541</c:v>
                </c:pt>
                <c:pt idx="2">
                  <c:v>0.52023121387283233</c:v>
                </c:pt>
                <c:pt idx="3">
                  <c:v>0.13294797687861271</c:v>
                </c:pt>
                <c:pt idx="4">
                  <c:v>5.2023121387283239E-2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E0-4BF0-9BB5-D6BB7A402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Limitaciones técnicas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Tabulacion!$F$27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Tabulacion!$E$28:$E$34</c:f>
              <c:strCache>
                <c:ptCount val="7"/>
                <c:pt idx="0">
                  <c:v>Caídas frecuentes de plataforma</c:v>
                </c:pt>
                <c:pt idx="1">
                  <c:v>Lentitud para cargar contenidos</c:v>
                </c:pt>
                <c:pt idx="2">
                  <c:v>Dificultad para subir archivos/tareas</c:v>
                </c:pt>
                <c:pt idx="3">
                  <c:v>Problemas de audio/video en vivo</c:v>
                </c:pt>
                <c:pt idx="4">
                  <c:v>Incompatibilidad con mi dispositivo</c:v>
                </c:pt>
                <c:pt idx="5">
                  <c:v>Falta de soporte cuando hay problemas</c:v>
                </c:pt>
                <c:pt idx="6">
                  <c:v>Ninguna de las anteriores</c:v>
                </c:pt>
              </c:strCache>
            </c:strRef>
          </c:cat>
          <c:val>
            <c:numRef>
              <c:f>Tabulacion!$F$28:$F$34</c:f>
              <c:numCache>
                <c:formatCode>General</c:formatCode>
                <c:ptCount val="7"/>
                <c:pt idx="0">
                  <c:v>71</c:v>
                </c:pt>
                <c:pt idx="1">
                  <c:v>115</c:v>
                </c:pt>
                <c:pt idx="2">
                  <c:v>88</c:v>
                </c:pt>
                <c:pt idx="3">
                  <c:v>80</c:v>
                </c:pt>
                <c:pt idx="4">
                  <c:v>22</c:v>
                </c:pt>
                <c:pt idx="5">
                  <c:v>33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E-4F16-98E1-515F3FEED269}"/>
            </c:ext>
          </c:extLst>
        </c:ser>
        <c:ser>
          <c:idx val="1"/>
          <c:order val="1"/>
          <c:tx>
            <c:strRef>
              <c:f>Tabulacion!$G$27</c:f>
              <c:strCache>
                <c:ptCount val="1"/>
                <c:pt idx="0">
                  <c:v>Porcentaje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Tabulacion!$E$28:$E$34</c:f>
              <c:strCache>
                <c:ptCount val="7"/>
                <c:pt idx="0">
                  <c:v>Caídas frecuentes de plataforma</c:v>
                </c:pt>
                <c:pt idx="1">
                  <c:v>Lentitud para cargar contenidos</c:v>
                </c:pt>
                <c:pt idx="2">
                  <c:v>Dificultad para subir archivos/tareas</c:v>
                </c:pt>
                <c:pt idx="3">
                  <c:v>Problemas de audio/video en vivo</c:v>
                </c:pt>
                <c:pt idx="4">
                  <c:v>Incompatibilidad con mi dispositivo</c:v>
                </c:pt>
                <c:pt idx="5">
                  <c:v>Falta de soporte cuando hay problemas</c:v>
                </c:pt>
                <c:pt idx="6">
                  <c:v>Ninguna de las anteriores</c:v>
                </c:pt>
              </c:strCache>
            </c:strRef>
          </c:cat>
          <c:val>
            <c:numRef>
              <c:f>Tabulacion!$G$28:$G$34</c:f>
              <c:numCache>
                <c:formatCode>0.00%</c:formatCode>
                <c:ptCount val="7"/>
                <c:pt idx="0">
                  <c:v>0.16666666666666666</c:v>
                </c:pt>
                <c:pt idx="1">
                  <c:v>0.2699530516431925</c:v>
                </c:pt>
                <c:pt idx="2">
                  <c:v>0.20657276995305165</c:v>
                </c:pt>
                <c:pt idx="3">
                  <c:v>0.18779342723004694</c:v>
                </c:pt>
                <c:pt idx="4">
                  <c:v>5.1643192488262914E-2</c:v>
                </c:pt>
                <c:pt idx="5">
                  <c:v>7.746478873239436E-2</c:v>
                </c:pt>
                <c:pt idx="6">
                  <c:v>3.9906103286384977E-2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9E-4F16-98E1-515F3FEED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0069000"/>
        <c:axId val="1650071048"/>
      </c:barChart>
      <c:catAx>
        <c:axId val="1650069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071048"/>
        <c:crosses val="autoZero"/>
        <c:auto val="1"/>
        <c:lblAlgn val="ctr"/>
        <c:lblOffset val="100"/>
        <c:noMultiLvlLbl val="0"/>
      </c:catAx>
      <c:valAx>
        <c:axId val="165007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0690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 de dispositivos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Tabulacion!$B$1</c:f>
              <c:strCache>
                <c:ptCount val="1"/>
                <c:pt idx="0">
                  <c:v>Frecuencia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28-4145-8DF9-F6B2745C1D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28-4145-8DF9-F6B2745C1D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28-4145-8DF9-F6B2745C1D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28-4145-8DF9-F6B2745C1D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Tabulacion!$A$2:$A$5</c:f>
              <c:strCache>
                <c:ptCount val="4"/>
                <c:pt idx="0">
                  <c:v>Celular Propio</c:v>
                </c:pt>
                <c:pt idx="1">
                  <c:v>Laptop Propia</c:v>
                </c:pt>
                <c:pt idx="2">
                  <c:v>Pc de casa</c:v>
                </c:pt>
                <c:pt idx="3">
                  <c:v>Equipo de la Institucion</c:v>
                </c:pt>
              </c:strCache>
            </c:strRef>
          </c:cat>
          <c:val>
            <c:numRef>
              <c:f>Tabulacion!$B$2:$B$5</c:f>
              <c:numCache>
                <c:formatCode>General</c:formatCode>
                <c:ptCount val="4"/>
                <c:pt idx="0">
                  <c:v>156</c:v>
                </c:pt>
                <c:pt idx="1">
                  <c:v>65</c:v>
                </c:pt>
                <c:pt idx="2">
                  <c:v>12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28-4145-8DF9-F6B2745C1DAA}"/>
            </c:ext>
          </c:extLst>
        </c:ser>
        <c:ser>
          <c:idx val="1"/>
          <c:order val="1"/>
          <c:tx>
            <c:strRef>
              <c:f>Tabulacion!$C$1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E28-4145-8DF9-F6B2745C1D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E28-4145-8DF9-F6B2745C1D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0E28-4145-8DF9-F6B2745C1D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E28-4145-8DF9-F6B2745C1DAA}"/>
              </c:ext>
            </c:extLst>
          </c:dPt>
          <c:cat>
            <c:strRef>
              <c:f>Tabulacion!$A$2:$A$5</c:f>
              <c:strCache>
                <c:ptCount val="4"/>
                <c:pt idx="0">
                  <c:v>Celular Propio</c:v>
                </c:pt>
                <c:pt idx="1">
                  <c:v>Laptop Propia</c:v>
                </c:pt>
                <c:pt idx="2">
                  <c:v>Pc de casa</c:v>
                </c:pt>
                <c:pt idx="3">
                  <c:v>Equipo de la Institucion</c:v>
                </c:pt>
              </c:strCache>
            </c:strRef>
          </c:cat>
          <c:val>
            <c:numRef>
              <c:f>Tabulacion!$C$2:$C$5</c:f>
              <c:numCache>
                <c:formatCode>0.00%</c:formatCode>
                <c:ptCount val="4"/>
                <c:pt idx="0">
                  <c:v>0.64730290456431538</c:v>
                </c:pt>
                <c:pt idx="1">
                  <c:v>0.26970954356846472</c:v>
                </c:pt>
                <c:pt idx="2">
                  <c:v>4.9792531120331947E-2</c:v>
                </c:pt>
                <c:pt idx="3">
                  <c:v>3.3195020746887967E-2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E28-4145-8DF9-F6B2745C1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¿Quién cubre el costo de tu conexión a internet?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Tabulacion!$F$1</c:f>
              <c:strCache>
                <c:ptCount val="1"/>
                <c:pt idx="0">
                  <c:v>Frecuencia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B8-4DBE-BC2B-9AA4CA27A5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B8-4DBE-BC2B-9AA4CA27A5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B8-4DBE-BC2B-9AA4CA27A5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7B8-4DBE-BC2B-9AA4CA27A5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Tabulacion!$E$2:$E$5</c:f>
              <c:strCache>
                <c:ptCount val="4"/>
                <c:pt idx="0">
                  <c:v>Familia</c:v>
                </c:pt>
                <c:pt idx="1">
                  <c:v>Yo mismo</c:v>
                </c:pt>
                <c:pt idx="2">
                  <c:v>Beca/apoyo institucional</c:v>
                </c:pt>
                <c:pt idx="3">
                  <c:v>No tengo acceso constante</c:v>
                </c:pt>
              </c:strCache>
            </c:strRef>
          </c:cat>
          <c:val>
            <c:numRef>
              <c:f>Tabulacion!$F$2:$F$5</c:f>
              <c:numCache>
                <c:formatCode>General</c:formatCode>
                <c:ptCount val="4"/>
                <c:pt idx="0">
                  <c:v>80</c:v>
                </c:pt>
                <c:pt idx="1">
                  <c:v>78</c:v>
                </c:pt>
                <c:pt idx="2">
                  <c:v>2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B8-4DBE-BC2B-9AA4CA27A501}"/>
            </c:ext>
          </c:extLst>
        </c:ser>
        <c:ser>
          <c:idx val="1"/>
          <c:order val="1"/>
          <c:tx>
            <c:strRef>
              <c:f>Tabulacion!$G$1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7B8-4DBE-BC2B-9AA4CA27A5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7B8-4DBE-BC2B-9AA4CA27A5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7B8-4DBE-BC2B-9AA4CA27A5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7B8-4DBE-BC2B-9AA4CA27A501}"/>
              </c:ext>
            </c:extLst>
          </c:dPt>
          <c:cat>
            <c:strRef>
              <c:f>Tabulacion!$E$2:$E$5</c:f>
              <c:strCache>
                <c:ptCount val="4"/>
                <c:pt idx="0">
                  <c:v>Familia</c:v>
                </c:pt>
                <c:pt idx="1">
                  <c:v>Yo mismo</c:v>
                </c:pt>
                <c:pt idx="2">
                  <c:v>Beca/apoyo institucional</c:v>
                </c:pt>
                <c:pt idx="3">
                  <c:v>No tengo acceso constante</c:v>
                </c:pt>
              </c:strCache>
            </c:strRef>
          </c:cat>
          <c:val>
            <c:numRef>
              <c:f>Tabulacion!$G$2:$G$5</c:f>
              <c:numCache>
                <c:formatCode>0.00%</c:formatCode>
                <c:ptCount val="4"/>
                <c:pt idx="0">
                  <c:v>0.46242774566473988</c:v>
                </c:pt>
                <c:pt idx="1">
                  <c:v>0.45086705202312138</c:v>
                </c:pt>
                <c:pt idx="2">
                  <c:v>1.1560693641618497E-2</c:v>
                </c:pt>
                <c:pt idx="3">
                  <c:v>7.5144508670520235E-2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7B8-4DBE-BC2B-9AA4CA27A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Tipos de Conexión</a:t>
            </a:r>
          </a:p>
        </c:rich>
      </c:tx>
      <c:layout>
        <c:manualLayout>
          <c:xMode val="edge"/>
          <c:yMode val="edge"/>
          <c:x val="0.3283888888888889"/>
          <c:y val="3.4722243414984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Tabulacion!$J$1</c:f>
              <c:strCache>
                <c:ptCount val="1"/>
                <c:pt idx="0">
                  <c:v>Frecuecia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81-426B-8B9B-698BCCD6A8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81-426B-8B9B-698BCCD6A8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81-426B-8B9B-698BCCD6A8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81-426B-8B9B-698BCCD6A8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Tabulacion!$I$2:$I$5</c:f>
              <c:strCache>
                <c:ptCount val="4"/>
                <c:pt idx="0">
                  <c:v>Datos moviles</c:v>
                </c:pt>
                <c:pt idx="1">
                  <c:v>Wifi en casa</c:v>
                </c:pt>
                <c:pt idx="2">
                  <c:v>Wifi de institucion</c:v>
                </c:pt>
                <c:pt idx="3">
                  <c:v>Wifi pública</c:v>
                </c:pt>
              </c:strCache>
            </c:strRef>
          </c:cat>
          <c:val>
            <c:numRef>
              <c:f>Tabulacion!$J$2:$J$5</c:f>
              <c:numCache>
                <c:formatCode>General</c:formatCode>
                <c:ptCount val="4"/>
                <c:pt idx="0">
                  <c:v>92</c:v>
                </c:pt>
                <c:pt idx="1">
                  <c:v>115</c:v>
                </c:pt>
                <c:pt idx="2">
                  <c:v>33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81-426B-8B9B-698BCCD6A8AA}"/>
            </c:ext>
          </c:extLst>
        </c:ser>
        <c:ser>
          <c:idx val="1"/>
          <c:order val="1"/>
          <c:tx>
            <c:strRef>
              <c:f>Tabulacion!$K$1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681-426B-8B9B-698BCCD6A8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681-426B-8B9B-698BCCD6A8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681-426B-8B9B-698BCCD6A8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681-426B-8B9B-698BCCD6A8AA}"/>
              </c:ext>
            </c:extLst>
          </c:dPt>
          <c:cat>
            <c:strRef>
              <c:f>Tabulacion!$I$2:$I$5</c:f>
              <c:strCache>
                <c:ptCount val="4"/>
                <c:pt idx="0">
                  <c:v>Datos moviles</c:v>
                </c:pt>
                <c:pt idx="1">
                  <c:v>Wifi en casa</c:v>
                </c:pt>
                <c:pt idx="2">
                  <c:v>Wifi de institucion</c:v>
                </c:pt>
                <c:pt idx="3">
                  <c:v>Wifi pública</c:v>
                </c:pt>
              </c:strCache>
            </c:strRef>
          </c:cat>
          <c:val>
            <c:numRef>
              <c:f>Tabulacion!$K$2:$K$5</c:f>
              <c:numCache>
                <c:formatCode>0.00%</c:formatCode>
                <c:ptCount val="4"/>
                <c:pt idx="0">
                  <c:v>0.37096774193548387</c:v>
                </c:pt>
                <c:pt idx="1">
                  <c:v>0.46370967741935482</c:v>
                </c:pt>
                <c:pt idx="2">
                  <c:v>0.13306451612903225</c:v>
                </c:pt>
                <c:pt idx="3">
                  <c:v>3.2258064516129031E-2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681-426B-8B9B-698BCCD6A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¿Cuenta con un espacio de estudio tranquilo?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Tabulacion!$N$1</c:f>
              <c:strCache>
                <c:ptCount val="1"/>
                <c:pt idx="0">
                  <c:v>Frecuencia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83-4092-8C40-B1CAAFC391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83-4092-8C40-B1CAAFC391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83-4092-8C40-B1CAAFC391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Tabulacion!$M$2:$M$4</c:f>
              <c:strCache>
                <c:ptCount val="3"/>
                <c:pt idx="0">
                  <c:v>Si, siempre</c:v>
                </c:pt>
                <c:pt idx="1">
                  <c:v>Aveces</c:v>
                </c:pt>
                <c:pt idx="2">
                  <c:v>Nunca</c:v>
                </c:pt>
              </c:strCache>
            </c:strRef>
          </c:cat>
          <c:val>
            <c:numRef>
              <c:f>Tabulacion!$N$2:$N$4</c:f>
              <c:numCache>
                <c:formatCode>General</c:formatCode>
                <c:ptCount val="3"/>
                <c:pt idx="0">
                  <c:v>62</c:v>
                </c:pt>
                <c:pt idx="1">
                  <c:v>101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83-4092-8C40-B1CAAFC39130}"/>
            </c:ext>
          </c:extLst>
        </c:ser>
        <c:ser>
          <c:idx val="1"/>
          <c:order val="1"/>
          <c:tx>
            <c:strRef>
              <c:f>Tabulacion!$O$1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883-4092-8C40-B1CAAFC391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883-4092-8C40-B1CAAFC391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883-4092-8C40-B1CAAFC39130}"/>
              </c:ext>
            </c:extLst>
          </c:dPt>
          <c:cat>
            <c:strRef>
              <c:f>Tabulacion!$M$2:$M$4</c:f>
              <c:strCache>
                <c:ptCount val="3"/>
                <c:pt idx="0">
                  <c:v>Si, siempre</c:v>
                </c:pt>
                <c:pt idx="1">
                  <c:v>Aveces</c:v>
                </c:pt>
                <c:pt idx="2">
                  <c:v>Nunca</c:v>
                </c:pt>
              </c:strCache>
            </c:strRef>
          </c:cat>
          <c:val>
            <c:numRef>
              <c:f>Tabulacion!$O$2:$O$4</c:f>
              <c:numCache>
                <c:formatCode>0.00%</c:formatCode>
                <c:ptCount val="3"/>
                <c:pt idx="0">
                  <c:v>0.3583815028901734</c:v>
                </c:pt>
                <c:pt idx="1">
                  <c:v>0.58381502890173409</c:v>
                </c:pt>
                <c:pt idx="2">
                  <c:v>5.7803468208092484E-2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883-4092-8C40-B1CAAFC39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Facultad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Tabulacion!$B$27</c:f>
              <c:strCache>
                <c:ptCount val="1"/>
                <c:pt idx="0">
                  <c:v>Frecuencia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D4-43DA-B2DE-9EDA9B0E12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D4-43DA-B2DE-9EDA9B0E12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D4-43DA-B2DE-9EDA9B0E12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8D4-43DA-B2DE-9EDA9B0E12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8D4-43DA-B2DE-9EDA9B0E12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Tabulacion!$A$28:$A$32</c:f>
              <c:strCache>
                <c:ptCount val="5"/>
                <c:pt idx="0">
                  <c:v>ACyT</c:v>
                </c:pt>
                <c:pt idx="1">
                  <c:v>ACSyH</c:v>
                </c:pt>
                <c:pt idx="2">
                  <c:v>ACPyJ</c:v>
                </c:pt>
                <c:pt idx="3">
                  <c:v>ACBN</c:v>
                </c:pt>
                <c:pt idx="4">
                  <c:v>ACS</c:v>
                </c:pt>
              </c:strCache>
            </c:strRef>
          </c:cat>
          <c:val>
            <c:numRef>
              <c:f>Tabulacion!$B$28:$B$32</c:f>
              <c:numCache>
                <c:formatCode>General</c:formatCode>
                <c:ptCount val="5"/>
                <c:pt idx="0">
                  <c:v>123</c:v>
                </c:pt>
                <c:pt idx="1">
                  <c:v>47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D4-43DA-B2DE-9EDA9B0E125A}"/>
            </c:ext>
          </c:extLst>
        </c:ser>
        <c:ser>
          <c:idx val="1"/>
          <c:order val="1"/>
          <c:tx>
            <c:strRef>
              <c:f>Tabulacion!$C$27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68D4-43DA-B2DE-9EDA9B0E12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68D4-43DA-B2DE-9EDA9B0E12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68D4-43DA-B2DE-9EDA9B0E12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68D4-43DA-B2DE-9EDA9B0E12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68D4-43DA-B2DE-9EDA9B0E125A}"/>
              </c:ext>
            </c:extLst>
          </c:dPt>
          <c:cat>
            <c:strRef>
              <c:f>Tabulacion!$A$28:$A$32</c:f>
              <c:strCache>
                <c:ptCount val="5"/>
                <c:pt idx="0">
                  <c:v>ACyT</c:v>
                </c:pt>
                <c:pt idx="1">
                  <c:v>ACSyH</c:v>
                </c:pt>
                <c:pt idx="2">
                  <c:v>ACPyJ</c:v>
                </c:pt>
                <c:pt idx="3">
                  <c:v>ACBN</c:v>
                </c:pt>
                <c:pt idx="4">
                  <c:v>ACS</c:v>
                </c:pt>
              </c:strCache>
            </c:strRef>
          </c:cat>
          <c:val>
            <c:numRef>
              <c:f>Tabulacion!$C$28:$C$32</c:f>
              <c:numCache>
                <c:formatCode>0.00%</c:formatCode>
                <c:ptCount val="5"/>
                <c:pt idx="0">
                  <c:v>0.71098265895953761</c:v>
                </c:pt>
                <c:pt idx="1">
                  <c:v>0.27167630057803466</c:v>
                </c:pt>
                <c:pt idx="2">
                  <c:v>5.7803468208092483E-3</c:v>
                </c:pt>
                <c:pt idx="3">
                  <c:v>5.7803468208092483E-3</c:v>
                </c:pt>
                <c:pt idx="4">
                  <c:v>5.7803468208092483E-3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8D4-43DA-B2DE-9EDA9B0E1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Limitaciones técnicas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Tabulacion!$F$27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Tabulacion!$E$28:$E$34</c:f>
              <c:strCache>
                <c:ptCount val="7"/>
                <c:pt idx="0">
                  <c:v>Caídas frecuentes de plataforma</c:v>
                </c:pt>
                <c:pt idx="1">
                  <c:v>Lentitud para cargar contenidos</c:v>
                </c:pt>
                <c:pt idx="2">
                  <c:v>Dificultad para subir archivos/tareas</c:v>
                </c:pt>
                <c:pt idx="3">
                  <c:v>Problemas de audio/video en vivo</c:v>
                </c:pt>
                <c:pt idx="4">
                  <c:v>Incompatibilidad con mi dispositivo</c:v>
                </c:pt>
                <c:pt idx="5">
                  <c:v>Falta de soporte cuando hay problemas</c:v>
                </c:pt>
                <c:pt idx="6">
                  <c:v>Ninguna de las anteriores</c:v>
                </c:pt>
              </c:strCache>
            </c:strRef>
          </c:cat>
          <c:val>
            <c:numRef>
              <c:f>Tabulacion!$F$28:$F$34</c:f>
              <c:numCache>
                <c:formatCode>General</c:formatCode>
                <c:ptCount val="7"/>
                <c:pt idx="0">
                  <c:v>71</c:v>
                </c:pt>
                <c:pt idx="1">
                  <c:v>115</c:v>
                </c:pt>
                <c:pt idx="2">
                  <c:v>88</c:v>
                </c:pt>
                <c:pt idx="3">
                  <c:v>80</c:v>
                </c:pt>
                <c:pt idx="4">
                  <c:v>22</c:v>
                </c:pt>
                <c:pt idx="5">
                  <c:v>33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85-4B68-84B9-BC678A0AF834}"/>
            </c:ext>
          </c:extLst>
        </c:ser>
        <c:ser>
          <c:idx val="1"/>
          <c:order val="1"/>
          <c:tx>
            <c:strRef>
              <c:f>Tabulacion!$G$27</c:f>
              <c:strCache>
                <c:ptCount val="1"/>
                <c:pt idx="0">
                  <c:v>Porcentaje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Tabulacion!$E$28:$E$34</c:f>
              <c:strCache>
                <c:ptCount val="7"/>
                <c:pt idx="0">
                  <c:v>Caídas frecuentes de plataforma</c:v>
                </c:pt>
                <c:pt idx="1">
                  <c:v>Lentitud para cargar contenidos</c:v>
                </c:pt>
                <c:pt idx="2">
                  <c:v>Dificultad para subir archivos/tareas</c:v>
                </c:pt>
                <c:pt idx="3">
                  <c:v>Problemas de audio/video en vivo</c:v>
                </c:pt>
                <c:pt idx="4">
                  <c:v>Incompatibilidad con mi dispositivo</c:v>
                </c:pt>
                <c:pt idx="5">
                  <c:v>Falta de soporte cuando hay problemas</c:v>
                </c:pt>
                <c:pt idx="6">
                  <c:v>Ninguna de las anteriores</c:v>
                </c:pt>
              </c:strCache>
            </c:strRef>
          </c:cat>
          <c:val>
            <c:numRef>
              <c:f>Tabulacion!$G$28:$G$34</c:f>
              <c:numCache>
                <c:formatCode>0.00%</c:formatCode>
                <c:ptCount val="7"/>
                <c:pt idx="0">
                  <c:v>0.16666666666666666</c:v>
                </c:pt>
                <c:pt idx="1">
                  <c:v>0.2699530516431925</c:v>
                </c:pt>
                <c:pt idx="2">
                  <c:v>0.20657276995305165</c:v>
                </c:pt>
                <c:pt idx="3">
                  <c:v>0.18779342723004694</c:v>
                </c:pt>
                <c:pt idx="4">
                  <c:v>5.1643192488262914E-2</c:v>
                </c:pt>
                <c:pt idx="5">
                  <c:v>7.746478873239436E-2</c:v>
                </c:pt>
                <c:pt idx="6">
                  <c:v>3.9906103286384977E-2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85-4B68-84B9-BC678A0AF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0069000"/>
        <c:axId val="1650071048"/>
      </c:barChart>
      <c:catAx>
        <c:axId val="1650069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071048"/>
        <c:crosses val="autoZero"/>
        <c:auto val="1"/>
        <c:lblAlgn val="ctr"/>
        <c:lblOffset val="100"/>
        <c:noMultiLvlLbl val="0"/>
      </c:catAx>
      <c:valAx>
        <c:axId val="165007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0690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Calidad de conexión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Tabulacion!$J$27</c:f>
              <c:strCache>
                <c:ptCount val="1"/>
                <c:pt idx="0">
                  <c:v>Frecuecia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7B-4ACF-9D37-CBC64EF092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7B-4ACF-9D37-CBC64EF092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D7B-4ACF-9D37-CBC64EF092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D7B-4ACF-9D37-CBC64EF092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D7B-4ACF-9D37-CBC64EF092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Tabulacion!$I$28:$I$32</c:f>
              <c:strCache>
                <c:ptCount val="5"/>
                <c:pt idx="0">
                  <c:v>Exelente</c:v>
                </c:pt>
                <c:pt idx="1">
                  <c:v>Buena</c:v>
                </c:pt>
                <c:pt idx="2">
                  <c:v>Regular</c:v>
                </c:pt>
                <c:pt idx="3">
                  <c:v>Mala</c:v>
                </c:pt>
                <c:pt idx="4">
                  <c:v>Muy mala</c:v>
                </c:pt>
              </c:strCache>
            </c:strRef>
          </c:cat>
          <c:val>
            <c:numRef>
              <c:f>Tabulacion!$J$28:$J$32</c:f>
              <c:numCache>
                <c:formatCode>General</c:formatCode>
                <c:ptCount val="5"/>
                <c:pt idx="0">
                  <c:v>6</c:v>
                </c:pt>
                <c:pt idx="1">
                  <c:v>39</c:v>
                </c:pt>
                <c:pt idx="2">
                  <c:v>101</c:v>
                </c:pt>
                <c:pt idx="3">
                  <c:v>14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7B-4ACF-9D37-CBC64EF092FF}"/>
            </c:ext>
          </c:extLst>
        </c:ser>
        <c:ser>
          <c:idx val="1"/>
          <c:order val="1"/>
          <c:tx>
            <c:strRef>
              <c:f>Tabulacion!$K$27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D7B-4ACF-9D37-CBC64EF092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D7B-4ACF-9D37-CBC64EF092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D7B-4ACF-9D37-CBC64EF092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D7B-4ACF-9D37-CBC64EF092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D7B-4ACF-9D37-CBC64EF092FF}"/>
              </c:ext>
            </c:extLst>
          </c:dPt>
          <c:cat>
            <c:strRef>
              <c:f>Tabulacion!$I$28:$I$32</c:f>
              <c:strCache>
                <c:ptCount val="5"/>
                <c:pt idx="0">
                  <c:v>Exelente</c:v>
                </c:pt>
                <c:pt idx="1">
                  <c:v>Buena</c:v>
                </c:pt>
                <c:pt idx="2">
                  <c:v>Regular</c:v>
                </c:pt>
                <c:pt idx="3">
                  <c:v>Mala</c:v>
                </c:pt>
                <c:pt idx="4">
                  <c:v>Muy mala</c:v>
                </c:pt>
              </c:strCache>
            </c:strRef>
          </c:cat>
          <c:val>
            <c:numRef>
              <c:f>Tabulacion!$K$28:$K$32</c:f>
              <c:numCache>
                <c:formatCode>0.00%</c:formatCode>
                <c:ptCount val="5"/>
                <c:pt idx="0">
                  <c:v>3.4682080924855488E-2</c:v>
                </c:pt>
                <c:pt idx="1">
                  <c:v>0.22543352601156069</c:v>
                </c:pt>
                <c:pt idx="2">
                  <c:v>0.58381502890173409</c:v>
                </c:pt>
                <c:pt idx="3">
                  <c:v>8.0924855491329481E-2</c:v>
                </c:pt>
                <c:pt idx="4">
                  <c:v>7.5144508670520235E-2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D7B-4ACF-9D37-CBC64EF09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Frecuencia de interrupciones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Tabulacion!$N$27</c:f>
              <c:strCache>
                <c:ptCount val="1"/>
                <c:pt idx="0">
                  <c:v>Frecuencia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CA-4C7B-95A1-2D02A6C1C0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CA-4C7B-95A1-2D02A6C1C0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CA-4C7B-95A1-2D02A6C1C0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1CA-4C7B-95A1-2D02A6C1C0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1CA-4C7B-95A1-2D02A6C1C0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Tabulacion!$M$28:$M$32</c:f>
              <c:strCache>
                <c:ptCount val="5"/>
                <c:pt idx="0">
                  <c:v>Nunca</c:v>
                </c:pt>
                <c:pt idx="1">
                  <c:v>Raramente</c:v>
                </c:pt>
                <c:pt idx="2">
                  <c:v>Aveces</c:v>
                </c:pt>
                <c:pt idx="3">
                  <c:v>Frecuentemente</c:v>
                </c:pt>
                <c:pt idx="4">
                  <c:v>Siempre</c:v>
                </c:pt>
              </c:strCache>
            </c:strRef>
          </c:cat>
          <c:val>
            <c:numRef>
              <c:f>Tabulacion!$N$28:$N$32</c:f>
              <c:numCache>
                <c:formatCode>General</c:formatCode>
                <c:ptCount val="5"/>
                <c:pt idx="0">
                  <c:v>5</c:v>
                </c:pt>
                <c:pt idx="1">
                  <c:v>46</c:v>
                </c:pt>
                <c:pt idx="2">
                  <c:v>90</c:v>
                </c:pt>
                <c:pt idx="3">
                  <c:v>23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CA-4C7B-95A1-2D02A6C1C021}"/>
            </c:ext>
          </c:extLst>
        </c:ser>
        <c:ser>
          <c:idx val="1"/>
          <c:order val="1"/>
          <c:tx>
            <c:strRef>
              <c:f>Tabulacion!$O$27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1CA-4C7B-95A1-2D02A6C1C0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1CA-4C7B-95A1-2D02A6C1C0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E1CA-4C7B-95A1-2D02A6C1C0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E1CA-4C7B-95A1-2D02A6C1C0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E1CA-4C7B-95A1-2D02A6C1C021}"/>
              </c:ext>
            </c:extLst>
          </c:dPt>
          <c:cat>
            <c:strRef>
              <c:f>Tabulacion!$M$28:$M$32</c:f>
              <c:strCache>
                <c:ptCount val="5"/>
                <c:pt idx="0">
                  <c:v>Nunca</c:v>
                </c:pt>
                <c:pt idx="1">
                  <c:v>Raramente</c:v>
                </c:pt>
                <c:pt idx="2">
                  <c:v>Aveces</c:v>
                </c:pt>
                <c:pt idx="3">
                  <c:v>Frecuentemente</c:v>
                </c:pt>
                <c:pt idx="4">
                  <c:v>Siempre</c:v>
                </c:pt>
              </c:strCache>
            </c:strRef>
          </c:cat>
          <c:val>
            <c:numRef>
              <c:f>Tabulacion!$O$28:$O$32</c:f>
              <c:numCache>
                <c:formatCode>0.00%</c:formatCode>
                <c:ptCount val="5"/>
                <c:pt idx="0">
                  <c:v>2.8901734104046242E-2</c:v>
                </c:pt>
                <c:pt idx="1">
                  <c:v>0.26589595375722541</c:v>
                </c:pt>
                <c:pt idx="2">
                  <c:v>0.52023121387283233</c:v>
                </c:pt>
                <c:pt idx="3">
                  <c:v>0.13294797687861271</c:v>
                </c:pt>
                <c:pt idx="4">
                  <c:v>5.2023121387283239E-2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1CA-4C7B-95A1-2D02A6C1C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9525</xdr:rowOff>
    </xdr:from>
    <xdr:to>
      <xdr:col>3</xdr:col>
      <xdr:colOff>0</xdr:colOff>
      <xdr:row>22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F2493B-D971-8DE3-BCC4-6F566E265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</xdr:row>
      <xdr:rowOff>133350</xdr:rowOff>
    </xdr:from>
    <xdr:to>
      <xdr:col>7</xdr:col>
      <xdr:colOff>19050</xdr:colOff>
      <xdr:row>21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A6D678-F00C-0620-2D8F-060B2922C9F0}"/>
            </a:ext>
            <a:ext uri="{147F2762-F138-4A5C-976F-8EAC2B608ADB}">
              <a16:predDERef xmlns:a16="http://schemas.microsoft.com/office/drawing/2014/main" pred="{08F2493B-D971-8DE3-BCC4-6F566E265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</xdr:row>
      <xdr:rowOff>152400</xdr:rowOff>
    </xdr:from>
    <xdr:to>
      <xdr:col>11</xdr:col>
      <xdr:colOff>0</xdr:colOff>
      <xdr:row>21</xdr:row>
      <xdr:rowOff>142875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A3CD8E5-AD3F-DBB6-0111-BF36A6F343EE}"/>
            </a:ext>
            <a:ext uri="{147F2762-F138-4A5C-976F-8EAC2B608ADB}">
              <a16:predDERef xmlns:a16="http://schemas.microsoft.com/office/drawing/2014/main" pred="{9CA6D678-F00C-0620-2D8F-060B2922C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590550</xdr:colOff>
      <xdr:row>5</xdr:row>
      <xdr:rowOff>0</xdr:rowOff>
    </xdr:from>
    <xdr:to>
      <xdr:col>15</xdr:col>
      <xdr:colOff>0</xdr:colOff>
      <xdr:row>21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BD54D25-4830-FFB2-6E67-822DEB6C3960}"/>
            </a:ext>
            <a:ext uri="{147F2762-F138-4A5C-976F-8EAC2B608ADB}">
              <a16:predDERef xmlns:a16="http://schemas.microsoft.com/office/drawing/2014/main" pred="{DA3CD8E5-AD3F-DBB6-0111-BF36A6F34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31</xdr:row>
      <xdr:rowOff>152400</xdr:rowOff>
    </xdr:from>
    <xdr:to>
      <xdr:col>3</xdr:col>
      <xdr:colOff>19050</xdr:colOff>
      <xdr:row>48</xdr:row>
      <xdr:rowOff>142875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C1A397D-7B60-F274-8B7F-F2793796FB62}"/>
            </a:ext>
            <a:ext uri="{147F2762-F138-4A5C-976F-8EAC2B608ADB}">
              <a16:predDERef xmlns:a16="http://schemas.microsoft.com/office/drawing/2014/main" pred="{EBD54D25-4830-FFB2-6E67-822DEB6C3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590550</xdr:colOff>
      <xdr:row>32</xdr:row>
      <xdr:rowOff>9525</xdr:rowOff>
    </xdr:from>
    <xdr:to>
      <xdr:col>11</xdr:col>
      <xdr:colOff>0</xdr:colOff>
      <xdr:row>49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5F22D0D-4161-70A3-8F3C-845B23FF6346}"/>
            </a:ext>
            <a:ext uri="{147F2762-F138-4A5C-976F-8EAC2B608ADB}">
              <a16:predDERef xmlns:a16="http://schemas.microsoft.com/office/drawing/2014/main" pred="{FC1A397D-7B60-F274-8B7F-F2793796F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600075</xdr:colOff>
      <xdr:row>32</xdr:row>
      <xdr:rowOff>0</xdr:rowOff>
    </xdr:from>
    <xdr:to>
      <xdr:col>15</xdr:col>
      <xdr:colOff>0</xdr:colOff>
      <xdr:row>48</xdr:row>
      <xdr:rowOff>152400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0333160-7B7E-3D47-1343-5F6CA793642A}"/>
            </a:ext>
            <a:ext uri="{147F2762-F138-4A5C-976F-8EAC2B608ADB}">
              <a16:predDERef xmlns:a16="http://schemas.microsoft.com/office/drawing/2014/main" pred="{C5F22D0D-4161-70A3-8F3C-845B23FF6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590550</xdr:colOff>
      <xdr:row>34</xdr:row>
      <xdr:rowOff>28575</xdr:rowOff>
    </xdr:from>
    <xdr:to>
      <xdr:col>7</xdr:col>
      <xdr:colOff>19050</xdr:colOff>
      <xdr:row>51</xdr:row>
      <xdr:rowOff>19050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CB4C5C47-C343-586F-6AE1-2A9A878B9B2D}"/>
            </a:ext>
            <a:ext uri="{147F2762-F138-4A5C-976F-8EAC2B608ADB}">
              <a16:predDERef xmlns:a16="http://schemas.microsoft.com/office/drawing/2014/main" pred="{90333160-7B7E-3D47-1343-5F6CA7936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152400</xdr:rowOff>
    </xdr:from>
    <xdr:to>
      <xdr:col>3</xdr:col>
      <xdr:colOff>600075</xdr:colOff>
      <xdr:row>19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D08527-13E4-4B34-95F4-AE68CEC09C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171450</xdr:colOff>
      <xdr:row>3</xdr:row>
      <xdr:rowOff>9525</xdr:rowOff>
    </xdr:from>
    <xdr:to>
      <xdr:col>11</xdr:col>
      <xdr:colOff>457200</xdr:colOff>
      <xdr:row>20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196767-0DDC-4FC1-A30D-8AA280FB1A4C}"/>
            </a:ext>
            <a:ext uri="{147F2762-F138-4A5C-976F-8EAC2B608ADB}">
              <a16:predDERef xmlns:a16="http://schemas.microsoft.com/office/drawing/2014/main" pred="{0CD08527-13E4-4B34-95F4-AE68CEC09C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600075</xdr:colOff>
      <xdr:row>3</xdr:row>
      <xdr:rowOff>19050</xdr:rowOff>
    </xdr:from>
    <xdr:to>
      <xdr:col>18</xdr:col>
      <xdr:colOff>466725</xdr:colOff>
      <xdr:row>19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7F4EE75-A5ED-4779-BD6D-5886A57751A5}"/>
            </a:ext>
            <a:ext uri="{147F2762-F138-4A5C-976F-8EAC2B608ADB}">
              <a16:predDERef xmlns:a16="http://schemas.microsoft.com/office/drawing/2014/main" pred="{1A196767-0DDC-4FC1-A30D-8AA280FB1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600075</xdr:colOff>
      <xdr:row>3</xdr:row>
      <xdr:rowOff>9525</xdr:rowOff>
    </xdr:from>
    <xdr:to>
      <xdr:col>25</xdr:col>
      <xdr:colOff>95250</xdr:colOff>
      <xdr:row>20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03F9581-4249-424A-B65C-E314C0355355}"/>
            </a:ext>
            <a:ext uri="{147F2762-F138-4A5C-976F-8EAC2B608ADB}">
              <a16:predDERef xmlns:a16="http://schemas.microsoft.com/office/drawing/2014/main" pred="{F7F4EE75-A5ED-4779-BD6D-5886A5775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20</xdr:row>
      <xdr:rowOff>133350</xdr:rowOff>
    </xdr:from>
    <xdr:to>
      <xdr:col>4</xdr:col>
      <xdr:colOff>0</xdr:colOff>
      <xdr:row>37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F66D3A2-A82D-4844-9265-E7B545326EF8}"/>
            </a:ext>
            <a:ext uri="{147F2762-F138-4A5C-976F-8EAC2B608ADB}">
              <a16:predDERef xmlns:a16="http://schemas.microsoft.com/office/drawing/2014/main" pred="{F03F9581-4249-424A-B65C-E314C0355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153917</xdr:colOff>
      <xdr:row>38</xdr:row>
      <xdr:rowOff>2347</xdr:rowOff>
    </xdr:from>
    <xdr:to>
      <xdr:col>18</xdr:col>
      <xdr:colOff>574261</xdr:colOff>
      <xdr:row>54</xdr:row>
      <xdr:rowOff>158474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5670048-B7E6-47DE-B49A-C05CCFEE4054}"/>
            </a:ext>
            <a:ext uri="{147F2762-F138-4A5C-976F-8EAC2B608ADB}">
              <a16:predDERef xmlns:a16="http://schemas.microsoft.com/office/drawing/2014/main" pred="{EF66D3A2-A82D-4844-9265-E7B545326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590550</xdr:colOff>
      <xdr:row>20</xdr:row>
      <xdr:rowOff>123825</xdr:rowOff>
    </xdr:from>
    <xdr:to>
      <xdr:col>18</xdr:col>
      <xdr:colOff>476250</xdr:colOff>
      <xdr:row>37</xdr:row>
      <xdr:rowOff>114300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BBCE9E9-4825-404D-A9E3-3C135F3FB5DB}"/>
            </a:ext>
            <a:ext uri="{147F2762-F138-4A5C-976F-8EAC2B608ADB}">
              <a16:predDERef xmlns:a16="http://schemas.microsoft.com/office/drawing/2014/main" pred="{C5670048-B7E6-47DE-B49A-C05CCFEE4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0</xdr:colOff>
      <xdr:row>20</xdr:row>
      <xdr:rowOff>123825</xdr:rowOff>
    </xdr:from>
    <xdr:to>
      <xdr:col>25</xdr:col>
      <xdr:colOff>85725</xdr:colOff>
      <xdr:row>37</xdr:row>
      <xdr:rowOff>114300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5AEADDF-7533-4862-A0FA-3828B68C6281}"/>
            </a:ext>
            <a:ext uri="{147F2762-F138-4A5C-976F-8EAC2B608ADB}">
              <a16:predDERef xmlns:a16="http://schemas.microsoft.com/office/drawing/2014/main" pred="{1BBCE9E9-4825-404D-A9E3-3C135F3FB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R174">
  <tableColumns count="18">
    <tableColumn id="1" xr3:uid="{00000000-0010-0000-0000-000001000000}" name="Marca temporal"/>
    <tableColumn id="2" xr3:uid="{00000000-0010-0000-0000-000002000000}" name="NOMBRE COMPLETO"/>
    <tableColumn id="3" xr3:uid="{00000000-0010-0000-0000-000003000000}" name="RU"/>
    <tableColumn id="4" xr3:uid="{00000000-0010-0000-0000-000004000000}" name="UNIDAD ACADÉMICA"/>
    <tableColumn id="5" xr3:uid="{00000000-0010-0000-0000-000005000000}" name="FACULTAD"/>
    <tableColumn id="6" xr3:uid="{00000000-0010-0000-0000-000006000000}" name="CARRERA"/>
    <tableColumn id="7" xr3:uid="{00000000-0010-0000-0000-000007000000}" name="Dispositivo que usas PRINCIPALMENTE para estudiar:"/>
    <tableColumn id="8" xr3:uid="{00000000-0010-0000-0000-000008000000}" name="¿Quién cubre el costo de tu conexión a internet?"/>
    <tableColumn id="9" xr3:uid="{00000000-0010-0000-0000-000009000000}" name="Tipo de conexión que usas con más frecuencia:"/>
    <tableColumn id="10" xr3:uid="{00000000-0010-0000-0000-00000A000000}" name="¿Cuentas con un espacio tranquilo en casa para estudiar en línea?"/>
    <tableColumn id="11" xr3:uid="{00000000-0010-0000-0000-00000B000000}" name="¿Has utilizado plataformas virtuales (Moodle, Classroom, etc.) en este año académico?"/>
    <tableColumn id="12" xr3:uid="{00000000-0010-0000-0000-00000C000000}" name="Frecuencia de acceso a plataformas:"/>
    <tableColumn id="13" xr3:uid="{00000000-0010-0000-0000-00000D000000}" name="Plataformas que has utilizado (marca hasta 3):"/>
    <tableColumn id="14" xr3:uid="{00000000-0010-0000-0000-00000E000000}" name="Actividad que realizas CON MÁS FRECUENCIA en plataformas:"/>
    <tableColumn id="15" xr3:uid="{00000000-0010-0000-0000-00000F000000}" name="Calidad percibida de tu conexión para actividades académicas"/>
    <tableColumn id="16" xr3:uid="{00000000-0010-0000-0000-000010000000}" name="¿Con qué frecuencia experimentas interrupciones durante clases/trabajo en línea?"/>
    <tableColumn id="17" xr3:uid="{00000000-0010-0000-0000-000011000000}" name="Limitaciones técnicas que has enfrentado (marca hasta 3):"/>
    <tableColumn id="18" xr3:uid="{00000000-0010-0000-0000-000012000000}" name="¿Qué mejora priorizarías para la educación virtual en Cobija?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R174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5546875" defaultRowHeight="15.75" customHeight="1" x14ac:dyDescent="0.25"/>
  <cols>
    <col min="1" max="1" width="18.88671875" customWidth="1"/>
    <col min="2" max="2" width="27.33203125" customWidth="1"/>
    <col min="3" max="3" width="18.88671875" customWidth="1"/>
    <col min="4" max="4" width="20.77734375" customWidth="1"/>
    <col min="5" max="6" width="18.88671875" customWidth="1"/>
    <col min="7" max="11" width="37.6640625" customWidth="1"/>
    <col min="12" max="12" width="32" customWidth="1"/>
    <col min="13" max="13" width="54.33203125" customWidth="1"/>
    <col min="14" max="14" width="77.109375" customWidth="1"/>
    <col min="15" max="16" width="37.6640625" customWidth="1"/>
    <col min="17" max="17" width="161.109375" customWidth="1"/>
    <col min="18" max="18" width="169.21875" customWidth="1"/>
    <col min="19" max="24" width="18.88671875" customWidth="1"/>
  </cols>
  <sheetData>
    <row r="1" spans="1:1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2.5" customHeight="1" x14ac:dyDescent="0.25">
      <c r="A2" s="3">
        <v>46174.485851215279</v>
      </c>
      <c r="B2" s="2" t="s">
        <v>18</v>
      </c>
      <c r="C2" s="2">
        <v>34785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25</v>
      </c>
      <c r="M2" s="2" t="s">
        <v>27</v>
      </c>
      <c r="N2" s="2" t="s">
        <v>28</v>
      </c>
      <c r="O2" s="2" t="s">
        <v>29</v>
      </c>
      <c r="P2" s="2" t="s">
        <v>25</v>
      </c>
      <c r="Q2" s="2" t="s">
        <v>30</v>
      </c>
      <c r="R2" s="2" t="s">
        <v>31</v>
      </c>
    </row>
    <row r="3" spans="1:18" ht="22.5" customHeight="1" x14ac:dyDescent="0.25">
      <c r="A3" s="3">
        <v>46174.486760925924</v>
      </c>
      <c r="B3" s="2" t="s">
        <v>32</v>
      </c>
      <c r="C3" s="2">
        <v>35542</v>
      </c>
      <c r="D3" s="2" t="s">
        <v>19</v>
      </c>
      <c r="E3" s="2" t="s">
        <v>20</v>
      </c>
      <c r="F3" s="2" t="s">
        <v>21</v>
      </c>
      <c r="G3" s="2" t="s">
        <v>33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25</v>
      </c>
      <c r="M3" s="2" t="s">
        <v>27</v>
      </c>
      <c r="N3" s="2" t="s">
        <v>34</v>
      </c>
      <c r="O3" s="2" t="s">
        <v>29</v>
      </c>
      <c r="P3" s="2" t="s">
        <v>35</v>
      </c>
      <c r="Q3" s="2" t="s">
        <v>36</v>
      </c>
      <c r="R3" s="2" t="s">
        <v>37</v>
      </c>
    </row>
    <row r="4" spans="1:18" ht="22.5" customHeight="1" x14ac:dyDescent="0.25">
      <c r="A4" s="3">
        <v>46175.410820393517</v>
      </c>
      <c r="B4" s="2" t="s">
        <v>38</v>
      </c>
      <c r="C4" s="2">
        <v>45699</v>
      </c>
      <c r="D4" s="2" t="s">
        <v>19</v>
      </c>
      <c r="E4" s="2" t="s">
        <v>20</v>
      </c>
      <c r="F4" s="2" t="s">
        <v>21</v>
      </c>
      <c r="G4" s="2" t="s">
        <v>33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39</v>
      </c>
      <c r="M4" s="2" t="s">
        <v>40</v>
      </c>
      <c r="N4" s="2" t="s">
        <v>41</v>
      </c>
      <c r="O4" s="2" t="s">
        <v>42</v>
      </c>
      <c r="P4" s="2" t="s">
        <v>25</v>
      </c>
      <c r="Q4" s="2" t="s">
        <v>43</v>
      </c>
      <c r="R4" s="2" t="s">
        <v>44</v>
      </c>
    </row>
    <row r="5" spans="1:18" ht="22.5" customHeight="1" x14ac:dyDescent="0.25">
      <c r="A5" s="3">
        <v>46175.410954074076</v>
      </c>
      <c r="B5" s="2" t="s">
        <v>45</v>
      </c>
      <c r="C5" s="2">
        <v>42645</v>
      </c>
      <c r="D5" s="2" t="s">
        <v>19</v>
      </c>
      <c r="E5" s="2" t="s">
        <v>20</v>
      </c>
      <c r="F5" s="2" t="s">
        <v>21</v>
      </c>
      <c r="G5" s="2" t="s">
        <v>33</v>
      </c>
      <c r="H5" s="2" t="s">
        <v>23</v>
      </c>
      <c r="I5" s="2" t="s">
        <v>46</v>
      </c>
      <c r="J5" s="2" t="s">
        <v>25</v>
      </c>
      <c r="K5" s="2" t="s">
        <v>26</v>
      </c>
      <c r="L5" s="2" t="s">
        <v>25</v>
      </c>
      <c r="M5" s="2" t="s">
        <v>47</v>
      </c>
      <c r="N5" s="2" t="s">
        <v>28</v>
      </c>
      <c r="O5" s="2" t="s">
        <v>29</v>
      </c>
      <c r="P5" s="2" t="s">
        <v>25</v>
      </c>
      <c r="Q5" s="2" t="s">
        <v>48</v>
      </c>
      <c r="R5" s="2" t="s">
        <v>31</v>
      </c>
    </row>
    <row r="6" spans="1:18" ht="22.5" customHeight="1" x14ac:dyDescent="0.25">
      <c r="A6" s="3">
        <v>46175.411055509263</v>
      </c>
      <c r="B6" s="2" t="s">
        <v>49</v>
      </c>
      <c r="C6" s="2">
        <v>42784</v>
      </c>
      <c r="D6" s="2" t="s">
        <v>19</v>
      </c>
      <c r="E6" s="2" t="s">
        <v>20</v>
      </c>
      <c r="F6" s="2" t="s">
        <v>21</v>
      </c>
      <c r="G6" s="2" t="s">
        <v>50</v>
      </c>
      <c r="H6" s="2" t="s">
        <v>23</v>
      </c>
      <c r="I6" s="2" t="s">
        <v>24</v>
      </c>
      <c r="J6" s="2" t="s">
        <v>51</v>
      </c>
      <c r="K6" s="2" t="s">
        <v>26</v>
      </c>
      <c r="L6" s="2" t="s">
        <v>39</v>
      </c>
      <c r="M6" s="2" t="s">
        <v>27</v>
      </c>
      <c r="N6" s="2" t="s">
        <v>52</v>
      </c>
      <c r="O6" s="2" t="s">
        <v>42</v>
      </c>
      <c r="P6" s="2" t="s">
        <v>25</v>
      </c>
      <c r="Q6" s="2" t="s">
        <v>30</v>
      </c>
      <c r="R6" s="2" t="s">
        <v>53</v>
      </c>
    </row>
    <row r="7" spans="1:18" ht="22.5" customHeight="1" x14ac:dyDescent="0.25">
      <c r="A7" s="3">
        <v>46175.411073854164</v>
      </c>
      <c r="B7" s="2" t="s">
        <v>54</v>
      </c>
      <c r="C7" s="2">
        <v>46102</v>
      </c>
      <c r="D7" s="2" t="s">
        <v>19</v>
      </c>
      <c r="E7" s="2" t="s">
        <v>20</v>
      </c>
      <c r="F7" s="2" t="s">
        <v>55</v>
      </c>
      <c r="G7" s="2" t="s">
        <v>22</v>
      </c>
      <c r="H7" s="2" t="s">
        <v>56</v>
      </c>
      <c r="I7" s="2" t="s">
        <v>57</v>
      </c>
      <c r="J7" s="2" t="s">
        <v>25</v>
      </c>
      <c r="K7" s="2" t="s">
        <v>26</v>
      </c>
      <c r="L7" s="2" t="s">
        <v>25</v>
      </c>
      <c r="M7" s="2" t="s">
        <v>27</v>
      </c>
      <c r="N7" s="2" t="s">
        <v>28</v>
      </c>
      <c r="O7" s="2" t="s">
        <v>58</v>
      </c>
      <c r="P7" s="2" t="s">
        <v>59</v>
      </c>
      <c r="Q7" s="2" t="s">
        <v>60</v>
      </c>
      <c r="R7" s="2" t="s">
        <v>31</v>
      </c>
    </row>
    <row r="8" spans="1:18" ht="22.5" customHeight="1" x14ac:dyDescent="0.25">
      <c r="A8" s="3">
        <v>46175.411086446758</v>
      </c>
      <c r="B8" s="2" t="s">
        <v>61</v>
      </c>
      <c r="C8" s="2">
        <v>47186</v>
      </c>
      <c r="D8" s="2" t="s">
        <v>19</v>
      </c>
      <c r="E8" s="2" t="s">
        <v>20</v>
      </c>
      <c r="F8" s="2" t="s">
        <v>55</v>
      </c>
      <c r="G8" s="2" t="s">
        <v>62</v>
      </c>
      <c r="H8" s="2" t="s">
        <v>23</v>
      </c>
      <c r="I8" s="2" t="s">
        <v>24</v>
      </c>
      <c r="J8" s="2" t="s">
        <v>63</v>
      </c>
      <c r="K8" s="2" t="s">
        <v>26</v>
      </c>
      <c r="L8" s="2" t="s">
        <v>25</v>
      </c>
      <c r="M8" s="2" t="s">
        <v>64</v>
      </c>
      <c r="N8" s="2" t="s">
        <v>41</v>
      </c>
      <c r="O8" s="2" t="s">
        <v>29</v>
      </c>
      <c r="P8" s="2" t="s">
        <v>25</v>
      </c>
      <c r="Q8" s="2" t="s">
        <v>30</v>
      </c>
      <c r="R8" s="2" t="s">
        <v>65</v>
      </c>
    </row>
    <row r="9" spans="1:18" ht="22.5" customHeight="1" x14ac:dyDescent="0.25">
      <c r="A9" s="3">
        <v>46175.411856550927</v>
      </c>
      <c r="B9" s="2" t="s">
        <v>66</v>
      </c>
      <c r="C9" s="2">
        <v>47196</v>
      </c>
      <c r="D9" s="2" t="s">
        <v>19</v>
      </c>
      <c r="E9" s="2" t="s">
        <v>20</v>
      </c>
      <c r="F9" s="2" t="s">
        <v>55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26</v>
      </c>
      <c r="L9" s="2" t="s">
        <v>25</v>
      </c>
      <c r="M9" s="2" t="s">
        <v>27</v>
      </c>
      <c r="N9" s="2" t="s">
        <v>67</v>
      </c>
      <c r="O9" s="2" t="s">
        <v>29</v>
      </c>
      <c r="P9" s="2" t="s">
        <v>59</v>
      </c>
      <c r="Q9" s="2" t="s">
        <v>68</v>
      </c>
      <c r="R9" s="2" t="s">
        <v>31</v>
      </c>
    </row>
    <row r="10" spans="1:18" ht="22.5" customHeight="1" x14ac:dyDescent="0.25">
      <c r="A10" s="3">
        <v>46175.413368321759</v>
      </c>
      <c r="B10" s="2" t="s">
        <v>69</v>
      </c>
      <c r="C10" s="2">
        <v>47353</v>
      </c>
      <c r="D10" s="2" t="s">
        <v>19</v>
      </c>
      <c r="E10" s="2" t="s">
        <v>20</v>
      </c>
      <c r="F10" s="2" t="s">
        <v>55</v>
      </c>
      <c r="G10" s="2" t="s">
        <v>22</v>
      </c>
      <c r="H10" s="2" t="s">
        <v>70</v>
      </c>
      <c r="I10" s="2" t="s">
        <v>57</v>
      </c>
      <c r="J10" s="2" t="s">
        <v>25</v>
      </c>
      <c r="K10" s="2" t="s">
        <v>25</v>
      </c>
      <c r="L10" s="2" t="s">
        <v>25</v>
      </c>
      <c r="M10" s="2" t="s">
        <v>71</v>
      </c>
      <c r="N10" s="2" t="s">
        <v>67</v>
      </c>
      <c r="O10" s="2" t="s">
        <v>58</v>
      </c>
      <c r="P10" s="2" t="s">
        <v>25</v>
      </c>
      <c r="Q10" s="2" t="s">
        <v>68</v>
      </c>
      <c r="R10" s="2" t="s">
        <v>72</v>
      </c>
    </row>
    <row r="11" spans="1:18" ht="22.5" customHeight="1" x14ac:dyDescent="0.25">
      <c r="A11" s="3">
        <v>46175.415191990745</v>
      </c>
      <c r="B11" s="2" t="s">
        <v>73</v>
      </c>
      <c r="C11" s="2">
        <v>45669</v>
      </c>
      <c r="D11" s="2" t="s">
        <v>19</v>
      </c>
      <c r="E11" s="2" t="s">
        <v>20</v>
      </c>
      <c r="F11" s="2" t="s">
        <v>21</v>
      </c>
      <c r="G11" s="2" t="s">
        <v>33</v>
      </c>
      <c r="H11" s="2" t="s">
        <v>56</v>
      </c>
      <c r="I11" s="2" t="s">
        <v>57</v>
      </c>
      <c r="J11" s="2" t="s">
        <v>25</v>
      </c>
      <c r="K11" s="2" t="s">
        <v>26</v>
      </c>
      <c r="L11" s="2" t="s">
        <v>25</v>
      </c>
      <c r="M11" s="2" t="s">
        <v>74</v>
      </c>
      <c r="N11" s="2" t="s">
        <v>67</v>
      </c>
      <c r="O11" s="2" t="s">
        <v>29</v>
      </c>
      <c r="P11" s="2" t="s">
        <v>25</v>
      </c>
      <c r="Q11" s="2" t="s">
        <v>68</v>
      </c>
      <c r="R11" s="2" t="s">
        <v>75</v>
      </c>
    </row>
    <row r="12" spans="1:18" ht="22.5" customHeight="1" x14ac:dyDescent="0.25">
      <c r="A12" s="3">
        <v>46175.415929363429</v>
      </c>
      <c r="B12" s="2" t="s">
        <v>76</v>
      </c>
      <c r="C12" s="2">
        <v>46235</v>
      </c>
      <c r="D12" s="2" t="s">
        <v>19</v>
      </c>
      <c r="E12" s="2" t="s">
        <v>20</v>
      </c>
      <c r="F12" s="2" t="s">
        <v>55</v>
      </c>
      <c r="G12" s="2" t="s">
        <v>22</v>
      </c>
      <c r="H12" s="2" t="s">
        <v>23</v>
      </c>
      <c r="I12" s="2" t="s">
        <v>57</v>
      </c>
      <c r="J12" s="2" t="s">
        <v>25</v>
      </c>
      <c r="K12" s="2" t="s">
        <v>26</v>
      </c>
      <c r="L12" s="2" t="s">
        <v>39</v>
      </c>
      <c r="M12" s="2" t="s">
        <v>27</v>
      </c>
      <c r="N12" s="2" t="s">
        <v>52</v>
      </c>
      <c r="O12" s="2" t="s">
        <v>42</v>
      </c>
      <c r="P12" s="2" t="s">
        <v>25</v>
      </c>
      <c r="Q12" s="2" t="s">
        <v>77</v>
      </c>
      <c r="R12" s="2" t="s">
        <v>78</v>
      </c>
    </row>
    <row r="13" spans="1:18" ht="22.5" customHeight="1" x14ac:dyDescent="0.25">
      <c r="A13" s="3">
        <v>46175.416176828701</v>
      </c>
      <c r="B13" s="2" t="s">
        <v>79</v>
      </c>
      <c r="C13" s="2">
        <v>19384</v>
      </c>
      <c r="D13" s="2" t="s">
        <v>19</v>
      </c>
      <c r="E13" s="2" t="s">
        <v>20</v>
      </c>
      <c r="F13" s="2" t="s">
        <v>21</v>
      </c>
      <c r="G13" s="2" t="s">
        <v>50</v>
      </c>
      <c r="H13" s="2" t="s">
        <v>23</v>
      </c>
      <c r="I13" s="2" t="s">
        <v>24</v>
      </c>
      <c r="J13" s="2" t="s">
        <v>51</v>
      </c>
      <c r="K13" s="2" t="s">
        <v>26</v>
      </c>
      <c r="L13" s="2" t="s">
        <v>39</v>
      </c>
      <c r="M13" s="2" t="s">
        <v>71</v>
      </c>
      <c r="N13" s="2" t="s">
        <v>80</v>
      </c>
      <c r="O13" s="2" t="s">
        <v>29</v>
      </c>
      <c r="P13" s="2" t="s">
        <v>25</v>
      </c>
      <c r="Q13" s="2" t="s">
        <v>81</v>
      </c>
      <c r="R13" s="2" t="s">
        <v>37</v>
      </c>
    </row>
    <row r="14" spans="1:18" ht="22.5" customHeight="1" x14ac:dyDescent="0.25">
      <c r="A14" s="3">
        <v>46175.417028611111</v>
      </c>
      <c r="B14" s="2" t="s">
        <v>82</v>
      </c>
      <c r="C14" s="2">
        <v>45890</v>
      </c>
      <c r="D14" s="2" t="s">
        <v>19</v>
      </c>
      <c r="E14" s="2" t="s">
        <v>20</v>
      </c>
      <c r="F14" s="2" t="s">
        <v>21</v>
      </c>
      <c r="G14" s="2" t="s">
        <v>83</v>
      </c>
      <c r="H14" s="2" t="s">
        <v>23</v>
      </c>
      <c r="I14" s="2" t="s">
        <v>84</v>
      </c>
      <c r="J14" s="2" t="s">
        <v>25</v>
      </c>
      <c r="K14" s="2" t="s">
        <v>25</v>
      </c>
      <c r="L14" s="2" t="s">
        <v>25</v>
      </c>
      <c r="M14" s="2" t="s">
        <v>27</v>
      </c>
      <c r="N14" s="2" t="s">
        <v>28</v>
      </c>
      <c r="O14" s="2" t="s">
        <v>29</v>
      </c>
      <c r="P14" s="2" t="s">
        <v>25</v>
      </c>
      <c r="Q14" s="2" t="s">
        <v>85</v>
      </c>
      <c r="R14" s="2" t="s">
        <v>86</v>
      </c>
    </row>
    <row r="15" spans="1:18" ht="22.5" customHeight="1" x14ac:dyDescent="0.25">
      <c r="A15" s="3">
        <v>46175.417256354165</v>
      </c>
      <c r="B15" s="2" t="s">
        <v>87</v>
      </c>
      <c r="C15" s="2">
        <v>45466</v>
      </c>
      <c r="D15" s="2" t="s">
        <v>19</v>
      </c>
      <c r="E15" s="2" t="s">
        <v>20</v>
      </c>
      <c r="F15" s="2" t="s">
        <v>55</v>
      </c>
      <c r="G15" s="2" t="s">
        <v>22</v>
      </c>
      <c r="H15" s="2" t="s">
        <v>88</v>
      </c>
      <c r="I15" s="2" t="s">
        <v>57</v>
      </c>
      <c r="J15" s="2" t="s">
        <v>51</v>
      </c>
      <c r="K15" s="2" t="s">
        <v>26</v>
      </c>
      <c r="L15" s="2" t="s">
        <v>25</v>
      </c>
      <c r="M15" s="2" t="s">
        <v>89</v>
      </c>
      <c r="N15" s="2" t="s">
        <v>28</v>
      </c>
      <c r="O15" s="2" t="s">
        <v>29</v>
      </c>
      <c r="P15" s="2" t="s">
        <v>25</v>
      </c>
      <c r="Q15" s="2" t="s">
        <v>90</v>
      </c>
      <c r="R15" s="2" t="s">
        <v>31</v>
      </c>
    </row>
    <row r="16" spans="1:18" ht="22.5" customHeight="1" x14ac:dyDescent="0.25">
      <c r="A16" s="3">
        <v>46175.4175430787</v>
      </c>
      <c r="B16" s="2" t="s">
        <v>91</v>
      </c>
      <c r="C16" s="2">
        <v>34921</v>
      </c>
      <c r="D16" s="2" t="s">
        <v>19</v>
      </c>
      <c r="E16" s="2" t="s">
        <v>20</v>
      </c>
      <c r="F16" s="2" t="s">
        <v>21</v>
      </c>
      <c r="G16" s="2" t="s">
        <v>33</v>
      </c>
      <c r="H16" s="2" t="s">
        <v>23</v>
      </c>
      <c r="I16" s="2" t="s">
        <v>46</v>
      </c>
      <c r="J16" s="2" t="s">
        <v>51</v>
      </c>
      <c r="K16" s="2" t="s">
        <v>26</v>
      </c>
      <c r="L16" s="2" t="s">
        <v>25</v>
      </c>
      <c r="M16" s="2" t="s">
        <v>27</v>
      </c>
      <c r="N16" s="2" t="s">
        <v>92</v>
      </c>
      <c r="O16" s="2" t="s">
        <v>93</v>
      </c>
      <c r="P16" s="2" t="s">
        <v>35</v>
      </c>
      <c r="Q16" s="2" t="s">
        <v>94</v>
      </c>
      <c r="R16" s="2" t="s">
        <v>95</v>
      </c>
    </row>
    <row r="17" spans="1:18" ht="22.5" customHeight="1" x14ac:dyDescent="0.25">
      <c r="A17" s="3">
        <v>46175.422210671299</v>
      </c>
      <c r="B17" s="2" t="s">
        <v>96</v>
      </c>
      <c r="C17" s="2">
        <v>45671</v>
      </c>
      <c r="D17" s="2" t="s">
        <v>19</v>
      </c>
      <c r="E17" s="2" t="s">
        <v>20</v>
      </c>
      <c r="F17" s="2" t="s">
        <v>21</v>
      </c>
      <c r="G17" s="2" t="s">
        <v>33</v>
      </c>
      <c r="H17" s="2" t="s">
        <v>23</v>
      </c>
      <c r="I17" s="2" t="s">
        <v>97</v>
      </c>
      <c r="J17" s="2" t="s">
        <v>51</v>
      </c>
      <c r="K17" s="2" t="s">
        <v>26</v>
      </c>
      <c r="L17" s="2" t="s">
        <v>25</v>
      </c>
      <c r="M17" s="2" t="s">
        <v>27</v>
      </c>
      <c r="N17" s="2" t="s">
        <v>41</v>
      </c>
      <c r="O17" s="2" t="s">
        <v>29</v>
      </c>
      <c r="P17" s="2" t="s">
        <v>35</v>
      </c>
      <c r="Q17" s="2" t="s">
        <v>30</v>
      </c>
      <c r="R17" s="2" t="s">
        <v>31</v>
      </c>
    </row>
    <row r="18" spans="1:18" ht="22.5" customHeight="1" x14ac:dyDescent="0.25">
      <c r="A18" s="3">
        <v>46175.426338645833</v>
      </c>
      <c r="B18" s="2" t="s">
        <v>98</v>
      </c>
      <c r="C18" s="2">
        <v>45456</v>
      </c>
      <c r="D18" s="2" t="s">
        <v>19</v>
      </c>
      <c r="E18" s="2" t="s">
        <v>20</v>
      </c>
      <c r="F18" s="2" t="s">
        <v>55</v>
      </c>
      <c r="G18" s="2" t="s">
        <v>22</v>
      </c>
      <c r="H18" s="2" t="s">
        <v>56</v>
      </c>
      <c r="I18" s="2" t="s">
        <v>24</v>
      </c>
      <c r="J18" s="2" t="s">
        <v>25</v>
      </c>
      <c r="K18" s="2" t="s">
        <v>26</v>
      </c>
      <c r="L18" s="2" t="s">
        <v>39</v>
      </c>
      <c r="M18" s="2" t="s">
        <v>27</v>
      </c>
      <c r="N18" s="2" t="s">
        <v>28</v>
      </c>
      <c r="O18" s="2" t="s">
        <v>58</v>
      </c>
      <c r="P18" s="2" t="s">
        <v>25</v>
      </c>
      <c r="Q18" s="2" t="s">
        <v>94</v>
      </c>
      <c r="R18" s="2" t="s">
        <v>44</v>
      </c>
    </row>
    <row r="19" spans="1:18" ht="22.5" customHeight="1" x14ac:dyDescent="0.25">
      <c r="A19" s="3">
        <v>46175.430731041663</v>
      </c>
      <c r="B19" s="2" t="s">
        <v>99</v>
      </c>
      <c r="C19" s="2">
        <v>46004</v>
      </c>
      <c r="D19" s="2" t="s">
        <v>19</v>
      </c>
      <c r="E19" s="2" t="s">
        <v>20</v>
      </c>
      <c r="F19" s="2" t="s">
        <v>55</v>
      </c>
      <c r="G19" s="2" t="s">
        <v>22</v>
      </c>
      <c r="H19" s="2" t="s">
        <v>70</v>
      </c>
      <c r="I19" s="2" t="s">
        <v>57</v>
      </c>
      <c r="J19" s="2" t="s">
        <v>63</v>
      </c>
      <c r="K19" s="2" t="s">
        <v>25</v>
      </c>
      <c r="L19" s="2" t="s">
        <v>25</v>
      </c>
      <c r="M19" s="2" t="s">
        <v>74</v>
      </c>
      <c r="N19" s="2" t="s">
        <v>28</v>
      </c>
      <c r="O19" s="2" t="s">
        <v>29</v>
      </c>
      <c r="P19" s="2" t="s">
        <v>59</v>
      </c>
      <c r="Q19" s="2" t="s">
        <v>100</v>
      </c>
      <c r="R19" s="2" t="s">
        <v>86</v>
      </c>
    </row>
    <row r="20" spans="1:18" ht="22.5" customHeight="1" x14ac:dyDescent="0.25">
      <c r="A20" s="3">
        <v>46175.43798884259</v>
      </c>
      <c r="B20" s="2" t="s">
        <v>101</v>
      </c>
      <c r="C20" s="2">
        <v>45557</v>
      </c>
      <c r="D20" s="2" t="s">
        <v>19</v>
      </c>
      <c r="E20" s="2" t="s">
        <v>20</v>
      </c>
      <c r="F20" s="2" t="s">
        <v>55</v>
      </c>
      <c r="G20" s="2" t="s">
        <v>50</v>
      </c>
      <c r="H20" s="2" t="s">
        <v>23</v>
      </c>
      <c r="I20" s="2" t="s">
        <v>24</v>
      </c>
      <c r="J20" s="2" t="s">
        <v>51</v>
      </c>
      <c r="K20" s="2" t="s">
        <v>26</v>
      </c>
      <c r="L20" s="2" t="s">
        <v>39</v>
      </c>
      <c r="M20" s="2" t="s">
        <v>27</v>
      </c>
      <c r="N20" s="2" t="s">
        <v>102</v>
      </c>
      <c r="O20" s="2" t="s">
        <v>42</v>
      </c>
      <c r="P20" s="2" t="s">
        <v>25</v>
      </c>
      <c r="Q20" s="2" t="s">
        <v>94</v>
      </c>
      <c r="R20" s="2" t="s">
        <v>103</v>
      </c>
    </row>
    <row r="21" spans="1:18" ht="22.5" customHeight="1" x14ac:dyDescent="0.25">
      <c r="A21" s="3">
        <v>46175.439051655092</v>
      </c>
      <c r="B21" s="2" t="s">
        <v>104</v>
      </c>
      <c r="C21" s="2">
        <v>46177</v>
      </c>
      <c r="D21" s="2" t="s">
        <v>19</v>
      </c>
      <c r="E21" s="2" t="s">
        <v>20</v>
      </c>
      <c r="F21" s="2" t="s">
        <v>55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26</v>
      </c>
      <c r="L21" s="2" t="s">
        <v>25</v>
      </c>
      <c r="M21" s="2" t="s">
        <v>71</v>
      </c>
      <c r="N21" s="2" t="s">
        <v>28</v>
      </c>
      <c r="O21" s="2" t="s">
        <v>105</v>
      </c>
      <c r="P21" s="2" t="s">
        <v>25</v>
      </c>
      <c r="Q21" s="2" t="s">
        <v>30</v>
      </c>
      <c r="R21" s="2" t="s">
        <v>31</v>
      </c>
    </row>
    <row r="22" spans="1:18" ht="22.5" customHeight="1" x14ac:dyDescent="0.25">
      <c r="A22" s="3">
        <v>46175.440068136573</v>
      </c>
      <c r="B22" s="2" t="s">
        <v>106</v>
      </c>
      <c r="C22" s="2">
        <v>42534</v>
      </c>
      <c r="D22" s="2" t="s">
        <v>19</v>
      </c>
      <c r="E22" s="2" t="s">
        <v>20</v>
      </c>
      <c r="F22" s="2" t="s">
        <v>55</v>
      </c>
      <c r="G22" s="2" t="s">
        <v>22</v>
      </c>
      <c r="H22" s="2" t="s">
        <v>56</v>
      </c>
      <c r="I22" s="2" t="s">
        <v>57</v>
      </c>
      <c r="J22" s="2" t="s">
        <v>25</v>
      </c>
      <c r="K22" s="2" t="s">
        <v>26</v>
      </c>
      <c r="L22" s="2" t="s">
        <v>25</v>
      </c>
      <c r="M22" s="2" t="s">
        <v>40</v>
      </c>
      <c r="N22" s="2" t="s">
        <v>107</v>
      </c>
      <c r="O22" s="2" t="s">
        <v>105</v>
      </c>
      <c r="P22" s="2" t="s">
        <v>59</v>
      </c>
      <c r="Q22" s="2" t="s">
        <v>108</v>
      </c>
      <c r="R22" s="2" t="s">
        <v>75</v>
      </c>
    </row>
    <row r="23" spans="1:18" ht="22.5" customHeight="1" x14ac:dyDescent="0.25">
      <c r="A23" s="3">
        <v>46175.441137638889</v>
      </c>
      <c r="B23" s="2" t="s">
        <v>109</v>
      </c>
      <c r="C23" s="2">
        <v>45427</v>
      </c>
      <c r="D23" s="2" t="s">
        <v>19</v>
      </c>
      <c r="E23" s="2" t="s">
        <v>20</v>
      </c>
      <c r="F23" s="2" t="s">
        <v>55</v>
      </c>
      <c r="G23" s="2" t="s">
        <v>110</v>
      </c>
      <c r="H23" s="2" t="s">
        <v>70</v>
      </c>
      <c r="I23" s="2" t="s">
        <v>111</v>
      </c>
      <c r="J23" s="2" t="s">
        <v>63</v>
      </c>
      <c r="K23" s="2" t="s">
        <v>112</v>
      </c>
      <c r="L23" s="2" t="s">
        <v>63</v>
      </c>
      <c r="M23" s="2" t="s">
        <v>74</v>
      </c>
      <c r="N23" s="2" t="s">
        <v>113</v>
      </c>
      <c r="O23" s="2" t="s">
        <v>58</v>
      </c>
      <c r="P23" s="2" t="s">
        <v>114</v>
      </c>
      <c r="Q23" s="2" t="s">
        <v>115</v>
      </c>
      <c r="R23" s="2" t="s">
        <v>31</v>
      </c>
    </row>
    <row r="24" spans="1:18" ht="22.5" customHeight="1" x14ac:dyDescent="0.25">
      <c r="A24" s="3">
        <v>46175.442004155091</v>
      </c>
      <c r="B24" s="2" t="s">
        <v>116</v>
      </c>
      <c r="C24" s="2">
        <v>24258</v>
      </c>
      <c r="D24" s="2" t="s">
        <v>19</v>
      </c>
      <c r="E24" s="2" t="s">
        <v>20</v>
      </c>
      <c r="F24" s="2" t="s">
        <v>117</v>
      </c>
      <c r="G24" s="2" t="s">
        <v>22</v>
      </c>
      <c r="H24" s="2" t="s">
        <v>56</v>
      </c>
      <c r="I24" s="2" t="s">
        <v>46</v>
      </c>
      <c r="J24" s="2" t="s">
        <v>25</v>
      </c>
      <c r="K24" s="2" t="s">
        <v>26</v>
      </c>
      <c r="L24" s="2" t="s">
        <v>39</v>
      </c>
      <c r="M24" s="2" t="s">
        <v>27</v>
      </c>
      <c r="N24" s="2" t="s">
        <v>52</v>
      </c>
      <c r="O24" s="2" t="s">
        <v>58</v>
      </c>
      <c r="P24" s="2" t="s">
        <v>114</v>
      </c>
      <c r="Q24" s="2" t="s">
        <v>30</v>
      </c>
      <c r="R24" s="2" t="s">
        <v>118</v>
      </c>
    </row>
    <row r="25" spans="1:18" ht="22.5" customHeight="1" x14ac:dyDescent="0.25">
      <c r="A25" s="3">
        <v>46175.443664409722</v>
      </c>
      <c r="B25" s="2" t="s">
        <v>116</v>
      </c>
      <c r="C25" s="2">
        <v>47038</v>
      </c>
      <c r="D25" s="2" t="s">
        <v>19</v>
      </c>
      <c r="E25" s="2" t="s">
        <v>20</v>
      </c>
      <c r="F25" s="2" t="s">
        <v>55</v>
      </c>
      <c r="G25" s="2" t="s">
        <v>22</v>
      </c>
      <c r="H25" s="2" t="s">
        <v>56</v>
      </c>
      <c r="I25" s="2" t="s">
        <v>46</v>
      </c>
      <c r="J25" s="2" t="s">
        <v>63</v>
      </c>
      <c r="K25" s="2" t="s">
        <v>26</v>
      </c>
      <c r="L25" s="2" t="s">
        <v>39</v>
      </c>
      <c r="M25" s="2" t="s">
        <v>27</v>
      </c>
      <c r="N25" s="2" t="s">
        <v>41</v>
      </c>
      <c r="O25" s="2" t="s">
        <v>58</v>
      </c>
      <c r="P25" s="2" t="s">
        <v>114</v>
      </c>
      <c r="Q25" s="2" t="s">
        <v>30</v>
      </c>
      <c r="R25" s="2" t="s">
        <v>118</v>
      </c>
    </row>
    <row r="26" spans="1:18" ht="22.5" customHeight="1" x14ac:dyDescent="0.25">
      <c r="A26" s="3">
        <v>46175.447871932869</v>
      </c>
      <c r="B26" s="2" t="s">
        <v>119</v>
      </c>
      <c r="C26" s="2">
        <v>46135</v>
      </c>
      <c r="D26" s="2" t="s">
        <v>19</v>
      </c>
      <c r="E26" s="2" t="s">
        <v>20</v>
      </c>
      <c r="F26" s="2" t="s">
        <v>21</v>
      </c>
      <c r="G26" s="2" t="s">
        <v>33</v>
      </c>
      <c r="H26" s="2" t="s">
        <v>23</v>
      </c>
      <c r="I26" s="2" t="s">
        <v>24</v>
      </c>
      <c r="J26" s="2" t="s">
        <v>25</v>
      </c>
      <c r="K26" s="2" t="s">
        <v>26</v>
      </c>
      <c r="L26" s="2" t="s">
        <v>39</v>
      </c>
      <c r="M26" s="2" t="s">
        <v>27</v>
      </c>
      <c r="N26" s="2" t="s">
        <v>52</v>
      </c>
      <c r="O26" s="2" t="s">
        <v>29</v>
      </c>
      <c r="P26" s="2" t="s">
        <v>25</v>
      </c>
      <c r="Q26" s="2" t="s">
        <v>120</v>
      </c>
      <c r="R26" s="2" t="s">
        <v>121</v>
      </c>
    </row>
    <row r="27" spans="1:18" ht="22.5" customHeight="1" x14ac:dyDescent="0.25">
      <c r="A27" s="3">
        <v>46175.453566782409</v>
      </c>
      <c r="B27" s="2" t="s">
        <v>122</v>
      </c>
      <c r="C27" s="2">
        <v>46116</v>
      </c>
      <c r="D27" s="2" t="s">
        <v>19</v>
      </c>
      <c r="E27" s="2" t="s">
        <v>20</v>
      </c>
      <c r="F27" s="2" t="s">
        <v>55</v>
      </c>
      <c r="G27" s="2" t="s">
        <v>22</v>
      </c>
      <c r="H27" s="2" t="s">
        <v>23</v>
      </c>
      <c r="I27" s="2" t="s">
        <v>57</v>
      </c>
      <c r="J27" s="2" t="s">
        <v>25</v>
      </c>
      <c r="K27" s="2" t="s">
        <v>25</v>
      </c>
      <c r="L27" s="2" t="s">
        <v>25</v>
      </c>
      <c r="M27" s="2" t="s">
        <v>123</v>
      </c>
      <c r="N27" s="2" t="s">
        <v>28</v>
      </c>
      <c r="O27" s="2" t="s">
        <v>29</v>
      </c>
      <c r="P27" s="2" t="s">
        <v>59</v>
      </c>
      <c r="Q27" s="2" t="s">
        <v>124</v>
      </c>
      <c r="R27" s="2" t="s">
        <v>125</v>
      </c>
    </row>
    <row r="28" spans="1:18" ht="22.5" customHeight="1" x14ac:dyDescent="0.25">
      <c r="A28" s="3">
        <v>46175.464871284727</v>
      </c>
      <c r="B28" s="2" t="s">
        <v>126</v>
      </c>
      <c r="C28" s="2">
        <v>48252</v>
      </c>
      <c r="D28" s="2" t="s">
        <v>19</v>
      </c>
      <c r="E28" s="2" t="s">
        <v>20</v>
      </c>
      <c r="F28" s="2" t="s">
        <v>55</v>
      </c>
      <c r="G28" s="2" t="s">
        <v>33</v>
      </c>
      <c r="H28" s="2" t="s">
        <v>56</v>
      </c>
      <c r="I28" s="2" t="s">
        <v>127</v>
      </c>
      <c r="J28" s="2" t="s">
        <v>25</v>
      </c>
      <c r="K28" s="2" t="s">
        <v>26</v>
      </c>
      <c r="L28" s="2" t="s">
        <v>39</v>
      </c>
      <c r="M28" s="2" t="s">
        <v>64</v>
      </c>
      <c r="N28" s="2" t="s">
        <v>52</v>
      </c>
      <c r="O28" s="2" t="s">
        <v>29</v>
      </c>
      <c r="P28" s="2" t="s">
        <v>35</v>
      </c>
      <c r="Q28" s="2" t="s">
        <v>128</v>
      </c>
      <c r="R28" s="2" t="s">
        <v>86</v>
      </c>
    </row>
    <row r="29" spans="1:18" ht="22.5" customHeight="1" x14ac:dyDescent="0.25">
      <c r="A29" s="3">
        <v>46175.464918622689</v>
      </c>
      <c r="B29" s="2" t="s">
        <v>129</v>
      </c>
      <c r="C29" s="2">
        <v>45500</v>
      </c>
      <c r="D29" s="2" t="s">
        <v>19</v>
      </c>
      <c r="E29" s="2" t="s">
        <v>20</v>
      </c>
      <c r="F29" s="2" t="s">
        <v>55</v>
      </c>
      <c r="G29" s="2" t="s">
        <v>130</v>
      </c>
      <c r="H29" s="2" t="s">
        <v>23</v>
      </c>
      <c r="I29" s="2" t="s">
        <v>24</v>
      </c>
      <c r="J29" s="2" t="s">
        <v>51</v>
      </c>
      <c r="K29" s="2" t="s">
        <v>26</v>
      </c>
      <c r="L29" s="2" t="s">
        <v>39</v>
      </c>
      <c r="M29" s="2" t="s">
        <v>74</v>
      </c>
      <c r="N29" s="2" t="s">
        <v>131</v>
      </c>
      <c r="O29" s="2" t="s">
        <v>93</v>
      </c>
      <c r="P29" s="2" t="s">
        <v>63</v>
      </c>
      <c r="Q29" s="2" t="s">
        <v>81</v>
      </c>
      <c r="R29" s="2" t="s">
        <v>31</v>
      </c>
    </row>
    <row r="30" spans="1:18" ht="22.5" customHeight="1" x14ac:dyDescent="0.25">
      <c r="A30" s="3">
        <v>46175.464940370366</v>
      </c>
      <c r="B30" s="2" t="s">
        <v>132</v>
      </c>
      <c r="C30" s="2">
        <v>45421</v>
      </c>
      <c r="D30" s="2" t="s">
        <v>19</v>
      </c>
      <c r="E30" s="2" t="s">
        <v>20</v>
      </c>
      <c r="F30" s="2" t="s">
        <v>55</v>
      </c>
      <c r="G30" s="2" t="s">
        <v>22</v>
      </c>
      <c r="H30" s="2" t="s">
        <v>56</v>
      </c>
      <c r="I30" s="2" t="s">
        <v>57</v>
      </c>
      <c r="J30" s="2" t="s">
        <v>25</v>
      </c>
      <c r="K30" s="2" t="s">
        <v>25</v>
      </c>
      <c r="L30" s="2" t="s">
        <v>25</v>
      </c>
      <c r="M30" s="2" t="s">
        <v>74</v>
      </c>
      <c r="N30" s="2" t="s">
        <v>28</v>
      </c>
      <c r="O30" s="2" t="s">
        <v>29</v>
      </c>
      <c r="P30" s="2" t="s">
        <v>35</v>
      </c>
      <c r="Q30" s="2" t="s">
        <v>133</v>
      </c>
      <c r="R30" s="2" t="s">
        <v>95</v>
      </c>
    </row>
    <row r="31" spans="1:18" ht="22.5" customHeight="1" x14ac:dyDescent="0.25">
      <c r="A31" s="3">
        <v>46175.46530520833</v>
      </c>
      <c r="B31" s="2" t="s">
        <v>134</v>
      </c>
      <c r="C31" s="2">
        <v>42762</v>
      </c>
      <c r="D31" s="2" t="s">
        <v>19</v>
      </c>
      <c r="E31" s="2" t="s">
        <v>20</v>
      </c>
      <c r="F31" s="2" t="s">
        <v>55</v>
      </c>
      <c r="G31" s="2" t="s">
        <v>22</v>
      </c>
      <c r="H31" s="2" t="s">
        <v>56</v>
      </c>
      <c r="I31" s="2" t="s">
        <v>57</v>
      </c>
      <c r="J31" s="2" t="s">
        <v>63</v>
      </c>
      <c r="K31" s="2" t="s">
        <v>26</v>
      </c>
      <c r="L31" s="2" t="s">
        <v>39</v>
      </c>
      <c r="M31" s="2" t="s">
        <v>64</v>
      </c>
      <c r="N31" s="2" t="s">
        <v>135</v>
      </c>
      <c r="O31" s="2" t="s">
        <v>29</v>
      </c>
      <c r="P31" s="2" t="s">
        <v>25</v>
      </c>
      <c r="Q31" s="2" t="s">
        <v>136</v>
      </c>
      <c r="R31" s="2" t="s">
        <v>31</v>
      </c>
    </row>
    <row r="32" spans="1:18" ht="22.5" customHeight="1" x14ac:dyDescent="0.25">
      <c r="A32" s="3">
        <v>46175.465722534718</v>
      </c>
      <c r="B32" s="2" t="s">
        <v>137</v>
      </c>
      <c r="C32" s="2">
        <v>42408</v>
      </c>
      <c r="D32" s="2" t="s">
        <v>19</v>
      </c>
      <c r="E32" s="2" t="s">
        <v>20</v>
      </c>
      <c r="F32" s="2" t="s">
        <v>55</v>
      </c>
      <c r="G32" s="2" t="s">
        <v>62</v>
      </c>
      <c r="H32" s="2" t="s">
        <v>70</v>
      </c>
      <c r="I32" s="2" t="s">
        <v>46</v>
      </c>
      <c r="J32" s="2" t="s">
        <v>51</v>
      </c>
      <c r="K32" s="2" t="s">
        <v>26</v>
      </c>
      <c r="L32" s="2" t="s">
        <v>39</v>
      </c>
      <c r="M32" s="2" t="s">
        <v>27</v>
      </c>
      <c r="N32" s="2" t="s">
        <v>92</v>
      </c>
      <c r="O32" s="2" t="s">
        <v>29</v>
      </c>
      <c r="P32" s="2" t="s">
        <v>59</v>
      </c>
      <c r="Q32" s="2" t="s">
        <v>90</v>
      </c>
      <c r="R32" s="2" t="s">
        <v>53</v>
      </c>
    </row>
    <row r="33" spans="1:18" ht="22.5" customHeight="1" x14ac:dyDescent="0.25">
      <c r="A33" s="3">
        <v>46175.466186956022</v>
      </c>
      <c r="B33" s="2" t="s">
        <v>87</v>
      </c>
      <c r="C33" s="2">
        <v>45466</v>
      </c>
      <c r="D33" s="2" t="s">
        <v>19</v>
      </c>
      <c r="E33" s="2" t="s">
        <v>20</v>
      </c>
      <c r="F33" s="2" t="s">
        <v>55</v>
      </c>
      <c r="G33" s="2" t="s">
        <v>22</v>
      </c>
      <c r="H33" s="2" t="s">
        <v>88</v>
      </c>
      <c r="I33" s="2" t="s">
        <v>57</v>
      </c>
      <c r="J33" s="2" t="s">
        <v>51</v>
      </c>
      <c r="K33" s="2" t="s">
        <v>26</v>
      </c>
      <c r="L33" s="2" t="s">
        <v>25</v>
      </c>
      <c r="M33" s="2" t="s">
        <v>71</v>
      </c>
      <c r="N33" s="2" t="s">
        <v>28</v>
      </c>
      <c r="O33" s="2" t="s">
        <v>29</v>
      </c>
      <c r="P33" s="2" t="s">
        <v>59</v>
      </c>
      <c r="Q33" s="2" t="s">
        <v>90</v>
      </c>
      <c r="R33" s="2" t="s">
        <v>31</v>
      </c>
    </row>
    <row r="34" spans="1:18" ht="22.5" customHeight="1" x14ac:dyDescent="0.25">
      <c r="A34" s="3">
        <v>46175.466398194447</v>
      </c>
      <c r="B34" s="2" t="s">
        <v>138</v>
      </c>
      <c r="C34" s="2">
        <v>42634</v>
      </c>
      <c r="D34" s="2" t="s">
        <v>19</v>
      </c>
      <c r="E34" s="2" t="s">
        <v>20</v>
      </c>
      <c r="F34" s="2" t="s">
        <v>55</v>
      </c>
      <c r="G34" s="2" t="s">
        <v>22</v>
      </c>
      <c r="H34" s="2" t="s">
        <v>56</v>
      </c>
      <c r="I34" s="2" t="s">
        <v>46</v>
      </c>
      <c r="J34" s="2" t="s">
        <v>25</v>
      </c>
      <c r="K34" s="2" t="s">
        <v>26</v>
      </c>
      <c r="L34" s="2" t="s">
        <v>25</v>
      </c>
      <c r="M34" s="2" t="s">
        <v>139</v>
      </c>
      <c r="N34" s="2" t="s">
        <v>41</v>
      </c>
      <c r="O34" s="2" t="s">
        <v>29</v>
      </c>
      <c r="P34" s="2" t="s">
        <v>59</v>
      </c>
      <c r="Q34" s="2" t="s">
        <v>81</v>
      </c>
      <c r="R34" s="2" t="s">
        <v>31</v>
      </c>
    </row>
    <row r="35" spans="1:18" ht="22.5" customHeight="1" x14ac:dyDescent="0.25">
      <c r="A35" s="3">
        <v>46175.466613495373</v>
      </c>
      <c r="B35" s="2" t="s">
        <v>140</v>
      </c>
      <c r="C35" s="2">
        <v>42420</v>
      </c>
      <c r="D35" s="2" t="s">
        <v>19</v>
      </c>
      <c r="E35" s="2" t="s">
        <v>20</v>
      </c>
      <c r="F35" s="2" t="s">
        <v>55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26</v>
      </c>
      <c r="L35" s="2" t="s">
        <v>25</v>
      </c>
      <c r="M35" s="2" t="s">
        <v>71</v>
      </c>
      <c r="N35" s="2" t="s">
        <v>135</v>
      </c>
      <c r="O35" s="2" t="s">
        <v>42</v>
      </c>
      <c r="P35" s="2" t="s">
        <v>35</v>
      </c>
      <c r="Q35" s="2" t="s">
        <v>100</v>
      </c>
      <c r="R35" s="2" t="s">
        <v>86</v>
      </c>
    </row>
    <row r="36" spans="1:18" ht="22.5" customHeight="1" x14ac:dyDescent="0.25">
      <c r="A36" s="3">
        <v>46175.467074479166</v>
      </c>
      <c r="B36" s="2" t="s">
        <v>69</v>
      </c>
      <c r="C36" s="2">
        <v>47353</v>
      </c>
      <c r="D36" s="2" t="s">
        <v>19</v>
      </c>
      <c r="E36" s="2" t="s">
        <v>20</v>
      </c>
      <c r="F36" s="2" t="s">
        <v>55</v>
      </c>
      <c r="G36" s="2" t="s">
        <v>22</v>
      </c>
      <c r="H36" s="2" t="s">
        <v>56</v>
      </c>
      <c r="I36" s="2" t="s">
        <v>57</v>
      </c>
      <c r="J36" s="2" t="s">
        <v>25</v>
      </c>
      <c r="K36" s="2" t="s">
        <v>25</v>
      </c>
      <c r="L36" s="2" t="s">
        <v>25</v>
      </c>
      <c r="M36" s="2" t="s">
        <v>71</v>
      </c>
      <c r="N36" s="2" t="s">
        <v>141</v>
      </c>
      <c r="O36" s="2" t="s">
        <v>58</v>
      </c>
      <c r="P36" s="2" t="s">
        <v>114</v>
      </c>
      <c r="Q36" s="2" t="s">
        <v>90</v>
      </c>
      <c r="R36" s="2" t="s">
        <v>72</v>
      </c>
    </row>
    <row r="37" spans="1:18" ht="22.5" customHeight="1" x14ac:dyDescent="0.25">
      <c r="A37" s="3">
        <v>46175.467386319448</v>
      </c>
      <c r="B37" s="2" t="s">
        <v>142</v>
      </c>
      <c r="C37" s="2">
        <v>48952</v>
      </c>
      <c r="D37" s="2" t="s">
        <v>19</v>
      </c>
      <c r="E37" s="2" t="s">
        <v>20</v>
      </c>
      <c r="F37" s="2" t="s">
        <v>55</v>
      </c>
      <c r="G37" s="2" t="s">
        <v>143</v>
      </c>
      <c r="H37" s="2" t="s">
        <v>23</v>
      </c>
      <c r="I37" s="2" t="s">
        <v>24</v>
      </c>
      <c r="J37" s="2" t="s">
        <v>51</v>
      </c>
      <c r="K37" s="2" t="s">
        <v>26</v>
      </c>
      <c r="L37" s="2" t="s">
        <v>39</v>
      </c>
      <c r="M37" s="2" t="s">
        <v>144</v>
      </c>
      <c r="N37" s="2" t="s">
        <v>131</v>
      </c>
      <c r="O37" s="2" t="s">
        <v>42</v>
      </c>
      <c r="P37" s="2" t="s">
        <v>35</v>
      </c>
      <c r="Q37" s="2" t="s">
        <v>81</v>
      </c>
      <c r="R37" s="2" t="s">
        <v>145</v>
      </c>
    </row>
    <row r="38" spans="1:18" ht="22.5" customHeight="1" x14ac:dyDescent="0.25">
      <c r="A38" s="3">
        <v>46175.467608449078</v>
      </c>
      <c r="B38" s="2" t="s">
        <v>146</v>
      </c>
      <c r="C38" s="2">
        <v>49172</v>
      </c>
      <c r="D38" s="2" t="s">
        <v>19</v>
      </c>
      <c r="E38" s="2" t="s">
        <v>20</v>
      </c>
      <c r="F38" s="2" t="s">
        <v>55</v>
      </c>
      <c r="G38" s="2" t="s">
        <v>33</v>
      </c>
      <c r="H38" s="2" t="s">
        <v>56</v>
      </c>
      <c r="I38" s="2" t="s">
        <v>147</v>
      </c>
      <c r="J38" s="2" t="s">
        <v>25</v>
      </c>
      <c r="K38" s="2" t="s">
        <v>26</v>
      </c>
      <c r="L38" s="2" t="s">
        <v>25</v>
      </c>
      <c r="M38" s="2" t="s">
        <v>71</v>
      </c>
      <c r="N38" s="2" t="s">
        <v>148</v>
      </c>
      <c r="O38" s="2" t="s">
        <v>29</v>
      </c>
      <c r="P38" s="2" t="s">
        <v>59</v>
      </c>
      <c r="Q38" s="2" t="s">
        <v>149</v>
      </c>
      <c r="R38" s="2" t="s">
        <v>78</v>
      </c>
    </row>
    <row r="39" spans="1:18" ht="22.5" customHeight="1" x14ac:dyDescent="0.25">
      <c r="A39" s="3">
        <v>46175.467966145836</v>
      </c>
      <c r="B39" s="2" t="s">
        <v>150</v>
      </c>
      <c r="C39" s="2">
        <v>49726</v>
      </c>
      <c r="D39" s="2" t="s">
        <v>19</v>
      </c>
      <c r="E39" s="2" t="s">
        <v>20</v>
      </c>
      <c r="F39" s="2" t="s">
        <v>55</v>
      </c>
      <c r="G39" s="2" t="s">
        <v>130</v>
      </c>
      <c r="H39" s="2" t="s">
        <v>56</v>
      </c>
      <c r="I39" s="2" t="s">
        <v>24</v>
      </c>
      <c r="J39" s="2" t="s">
        <v>51</v>
      </c>
      <c r="K39" s="2" t="s">
        <v>26</v>
      </c>
      <c r="L39" s="2" t="s">
        <v>39</v>
      </c>
      <c r="M39" s="2" t="s">
        <v>71</v>
      </c>
      <c r="N39" s="2" t="s">
        <v>148</v>
      </c>
      <c r="O39" s="2" t="s">
        <v>29</v>
      </c>
      <c r="P39" s="2" t="s">
        <v>35</v>
      </c>
      <c r="Q39" s="2" t="s">
        <v>68</v>
      </c>
      <c r="R39" s="2" t="s">
        <v>95</v>
      </c>
    </row>
    <row r="40" spans="1:18" ht="22.5" customHeight="1" x14ac:dyDescent="0.25">
      <c r="A40" s="3">
        <v>46175.468168622683</v>
      </c>
      <c r="B40" s="2" t="s">
        <v>151</v>
      </c>
      <c r="C40" s="2">
        <v>42744</v>
      </c>
      <c r="D40" s="2" t="s">
        <v>19</v>
      </c>
      <c r="E40" s="2" t="s">
        <v>20</v>
      </c>
      <c r="F40" s="2" t="s">
        <v>55</v>
      </c>
      <c r="G40" s="2" t="s">
        <v>22</v>
      </c>
      <c r="H40" s="2" t="s">
        <v>56</v>
      </c>
      <c r="I40" s="2" t="s">
        <v>57</v>
      </c>
      <c r="J40" s="2" t="s">
        <v>25</v>
      </c>
      <c r="K40" s="2" t="s">
        <v>26</v>
      </c>
      <c r="L40" s="2" t="s">
        <v>25</v>
      </c>
      <c r="M40" s="2" t="s">
        <v>27</v>
      </c>
      <c r="N40" s="2" t="s">
        <v>41</v>
      </c>
      <c r="O40" s="2" t="s">
        <v>29</v>
      </c>
      <c r="P40" s="2" t="s">
        <v>25</v>
      </c>
      <c r="Q40" s="2" t="s">
        <v>81</v>
      </c>
      <c r="R40" s="2" t="s">
        <v>118</v>
      </c>
    </row>
    <row r="41" spans="1:18" ht="22.5" customHeight="1" x14ac:dyDescent="0.25">
      <c r="A41" s="3">
        <v>46175.468396215278</v>
      </c>
      <c r="B41" s="2" t="s">
        <v>152</v>
      </c>
      <c r="C41" s="2">
        <v>45440</v>
      </c>
      <c r="D41" s="2" t="s">
        <v>19</v>
      </c>
      <c r="E41" s="2" t="s">
        <v>20</v>
      </c>
      <c r="F41" s="2" t="s">
        <v>55</v>
      </c>
      <c r="G41" s="2" t="s">
        <v>33</v>
      </c>
      <c r="H41" s="2" t="s">
        <v>23</v>
      </c>
      <c r="I41" s="2" t="s">
        <v>24</v>
      </c>
      <c r="J41" s="2" t="s">
        <v>63</v>
      </c>
      <c r="K41" s="2" t="s">
        <v>26</v>
      </c>
      <c r="L41" s="2" t="s">
        <v>25</v>
      </c>
      <c r="M41" s="2" t="s">
        <v>71</v>
      </c>
      <c r="N41" s="2" t="s">
        <v>41</v>
      </c>
      <c r="O41" s="2" t="s">
        <v>29</v>
      </c>
      <c r="P41" s="2" t="s">
        <v>35</v>
      </c>
      <c r="Q41" s="2" t="s">
        <v>128</v>
      </c>
      <c r="R41" s="2" t="s">
        <v>75</v>
      </c>
    </row>
    <row r="42" spans="1:18" ht="22.5" customHeight="1" x14ac:dyDescent="0.25">
      <c r="A42" s="3">
        <v>46175.468476388887</v>
      </c>
      <c r="B42" s="2" t="s">
        <v>153</v>
      </c>
      <c r="C42" s="2">
        <v>42378</v>
      </c>
      <c r="D42" s="2" t="s">
        <v>19</v>
      </c>
      <c r="E42" s="2" t="s">
        <v>20</v>
      </c>
      <c r="F42" s="2" t="s">
        <v>55</v>
      </c>
      <c r="G42" s="2" t="s">
        <v>83</v>
      </c>
      <c r="H42" s="2" t="s">
        <v>56</v>
      </c>
      <c r="I42" s="2" t="s">
        <v>46</v>
      </c>
      <c r="J42" s="2" t="s">
        <v>51</v>
      </c>
      <c r="K42" s="2" t="s">
        <v>26</v>
      </c>
      <c r="L42" s="2" t="s">
        <v>39</v>
      </c>
      <c r="M42" s="2" t="s">
        <v>27</v>
      </c>
      <c r="N42" s="2" t="s">
        <v>154</v>
      </c>
      <c r="O42" s="2" t="s">
        <v>29</v>
      </c>
      <c r="P42" s="2" t="s">
        <v>35</v>
      </c>
      <c r="Q42" s="2" t="s">
        <v>81</v>
      </c>
      <c r="R42" s="2" t="s">
        <v>78</v>
      </c>
    </row>
    <row r="43" spans="1:18" ht="22.5" customHeight="1" x14ac:dyDescent="0.25">
      <c r="A43" s="3">
        <v>46175.468489097228</v>
      </c>
      <c r="B43" s="2" t="s">
        <v>155</v>
      </c>
      <c r="C43" s="2">
        <v>42212</v>
      </c>
      <c r="D43" s="2" t="s">
        <v>19</v>
      </c>
      <c r="E43" s="2" t="s">
        <v>20</v>
      </c>
      <c r="F43" s="2" t="s">
        <v>55</v>
      </c>
      <c r="G43" s="2" t="s">
        <v>22</v>
      </c>
      <c r="H43" s="2" t="s">
        <v>56</v>
      </c>
      <c r="I43" s="2" t="s">
        <v>57</v>
      </c>
      <c r="J43" s="2" t="s">
        <v>25</v>
      </c>
      <c r="K43" s="2" t="s">
        <v>26</v>
      </c>
      <c r="L43" s="2" t="s">
        <v>25</v>
      </c>
      <c r="M43" s="2" t="s">
        <v>64</v>
      </c>
      <c r="N43" s="2" t="s">
        <v>41</v>
      </c>
      <c r="O43" s="2" t="s">
        <v>29</v>
      </c>
      <c r="P43" s="2" t="s">
        <v>25</v>
      </c>
      <c r="Q43" s="2" t="s">
        <v>156</v>
      </c>
      <c r="R43" s="2" t="s">
        <v>31</v>
      </c>
    </row>
    <row r="44" spans="1:18" ht="22.5" customHeight="1" x14ac:dyDescent="0.25">
      <c r="A44" s="3">
        <v>46175.468797824069</v>
      </c>
      <c r="B44" s="2" t="s">
        <v>157</v>
      </c>
      <c r="C44" s="2">
        <v>48223</v>
      </c>
      <c r="D44" s="2" t="s">
        <v>19</v>
      </c>
      <c r="E44" s="2" t="s">
        <v>20</v>
      </c>
      <c r="F44" s="2" t="s">
        <v>55</v>
      </c>
      <c r="G44" s="2" t="s">
        <v>22</v>
      </c>
      <c r="H44" s="2" t="s">
        <v>23</v>
      </c>
      <c r="I44" s="2" t="s">
        <v>57</v>
      </c>
      <c r="J44" s="2" t="s">
        <v>25</v>
      </c>
      <c r="K44" s="2" t="s">
        <v>26</v>
      </c>
      <c r="L44" s="2" t="s">
        <v>39</v>
      </c>
      <c r="M44" s="2" t="s">
        <v>64</v>
      </c>
      <c r="N44" s="2" t="s">
        <v>92</v>
      </c>
      <c r="O44" s="2" t="s">
        <v>29</v>
      </c>
      <c r="P44" s="2" t="s">
        <v>25</v>
      </c>
      <c r="Q44" s="2" t="s">
        <v>30</v>
      </c>
      <c r="R44" s="2" t="s">
        <v>31</v>
      </c>
    </row>
    <row r="45" spans="1:18" ht="22.5" customHeight="1" x14ac:dyDescent="0.25">
      <c r="A45" s="3">
        <v>46175.468954502314</v>
      </c>
      <c r="B45" s="2" t="s">
        <v>158</v>
      </c>
      <c r="C45" s="2">
        <v>49800</v>
      </c>
      <c r="D45" s="2" t="s">
        <v>19</v>
      </c>
      <c r="E45" s="2" t="s">
        <v>20</v>
      </c>
      <c r="F45" s="2" t="s">
        <v>55</v>
      </c>
      <c r="G45" s="2" t="s">
        <v>22</v>
      </c>
      <c r="H45" s="2" t="s">
        <v>23</v>
      </c>
      <c r="I45" s="2" t="s">
        <v>57</v>
      </c>
      <c r="J45" s="2" t="s">
        <v>25</v>
      </c>
      <c r="K45" s="2" t="s">
        <v>26</v>
      </c>
      <c r="L45" s="2" t="s">
        <v>25</v>
      </c>
      <c r="M45" s="2" t="s">
        <v>64</v>
      </c>
      <c r="N45" s="2" t="s">
        <v>92</v>
      </c>
      <c r="O45" s="2" t="s">
        <v>29</v>
      </c>
      <c r="P45" s="2" t="s">
        <v>25</v>
      </c>
      <c r="Q45" s="2" t="s">
        <v>30</v>
      </c>
      <c r="R45" s="2" t="s">
        <v>31</v>
      </c>
    </row>
    <row r="46" spans="1:18" ht="22.5" customHeight="1" x14ac:dyDescent="0.25">
      <c r="A46" s="3">
        <v>46175.469568807872</v>
      </c>
      <c r="B46" s="2" t="s">
        <v>159</v>
      </c>
      <c r="C46" s="2">
        <v>49283</v>
      </c>
      <c r="D46" s="2" t="s">
        <v>19</v>
      </c>
      <c r="E46" s="2" t="s">
        <v>20</v>
      </c>
      <c r="F46" s="2" t="s">
        <v>55</v>
      </c>
      <c r="G46" s="2" t="s">
        <v>22</v>
      </c>
      <c r="H46" s="2" t="s">
        <v>70</v>
      </c>
      <c r="I46" s="2" t="s">
        <v>57</v>
      </c>
      <c r="J46" s="2" t="s">
        <v>25</v>
      </c>
      <c r="K46" s="2" t="s">
        <v>26</v>
      </c>
      <c r="L46" s="2" t="s">
        <v>39</v>
      </c>
      <c r="M46" s="2" t="s">
        <v>64</v>
      </c>
      <c r="N46" s="2" t="s">
        <v>67</v>
      </c>
      <c r="O46" s="2" t="s">
        <v>29</v>
      </c>
      <c r="P46" s="2" t="s">
        <v>35</v>
      </c>
      <c r="Q46" s="2" t="s">
        <v>128</v>
      </c>
      <c r="R46" s="2" t="s">
        <v>160</v>
      </c>
    </row>
    <row r="47" spans="1:18" ht="22.5" customHeight="1" x14ac:dyDescent="0.25">
      <c r="A47" s="3">
        <v>46175.469662407406</v>
      </c>
      <c r="B47" s="2" t="s">
        <v>161</v>
      </c>
      <c r="C47" s="2">
        <v>42502</v>
      </c>
      <c r="D47" s="2" t="s">
        <v>19</v>
      </c>
      <c r="E47" s="2" t="s">
        <v>20</v>
      </c>
      <c r="F47" s="2" t="s">
        <v>55</v>
      </c>
      <c r="G47" s="2" t="s">
        <v>22</v>
      </c>
      <c r="H47" s="2" t="s">
        <v>23</v>
      </c>
      <c r="I47" s="2" t="s">
        <v>46</v>
      </c>
      <c r="J47" s="2" t="s">
        <v>51</v>
      </c>
      <c r="K47" s="2" t="s">
        <v>26</v>
      </c>
      <c r="L47" s="2" t="s">
        <v>25</v>
      </c>
      <c r="M47" s="2" t="s">
        <v>27</v>
      </c>
      <c r="N47" s="2" t="s">
        <v>131</v>
      </c>
      <c r="O47" s="2" t="s">
        <v>42</v>
      </c>
      <c r="P47" s="2" t="s">
        <v>25</v>
      </c>
      <c r="Q47" s="2" t="s">
        <v>162</v>
      </c>
      <c r="R47" s="2" t="s">
        <v>31</v>
      </c>
    </row>
    <row r="48" spans="1:18" ht="22.5" customHeight="1" x14ac:dyDescent="0.25">
      <c r="A48" s="3">
        <v>46175.470456863426</v>
      </c>
      <c r="B48" s="2" t="s">
        <v>163</v>
      </c>
      <c r="C48" s="2">
        <v>43676</v>
      </c>
      <c r="D48" s="2" t="s">
        <v>19</v>
      </c>
      <c r="E48" s="2" t="s">
        <v>20</v>
      </c>
      <c r="F48" s="2" t="s">
        <v>55</v>
      </c>
      <c r="G48" s="2" t="s">
        <v>22</v>
      </c>
      <c r="H48" s="2" t="s">
        <v>56</v>
      </c>
      <c r="I48" s="2" t="s">
        <v>46</v>
      </c>
      <c r="J48" s="2" t="s">
        <v>51</v>
      </c>
      <c r="K48" s="2" t="s">
        <v>26</v>
      </c>
      <c r="L48" s="2" t="s">
        <v>25</v>
      </c>
      <c r="M48" s="2" t="s">
        <v>64</v>
      </c>
      <c r="N48" s="2" t="s">
        <v>28</v>
      </c>
      <c r="O48" s="2" t="s">
        <v>42</v>
      </c>
      <c r="P48" s="2" t="s">
        <v>35</v>
      </c>
      <c r="Q48" s="2" t="s">
        <v>164</v>
      </c>
      <c r="R48" s="2" t="s">
        <v>165</v>
      </c>
    </row>
    <row r="49" spans="1:18" ht="22.5" customHeight="1" x14ac:dyDescent="0.25">
      <c r="A49" s="3">
        <v>46175.470516898145</v>
      </c>
      <c r="B49" s="2" t="s">
        <v>166</v>
      </c>
      <c r="C49" s="2">
        <v>49137</v>
      </c>
      <c r="D49" s="2" t="s">
        <v>19</v>
      </c>
      <c r="E49" s="2" t="s">
        <v>20</v>
      </c>
      <c r="F49" s="2" t="s">
        <v>55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26</v>
      </c>
      <c r="L49" s="2" t="s">
        <v>25</v>
      </c>
      <c r="M49" s="2" t="s">
        <v>64</v>
      </c>
      <c r="N49" s="2" t="s">
        <v>52</v>
      </c>
      <c r="O49" s="2" t="s">
        <v>29</v>
      </c>
      <c r="P49" s="2" t="s">
        <v>25</v>
      </c>
      <c r="Q49" s="2" t="s">
        <v>136</v>
      </c>
      <c r="R49" s="2" t="s">
        <v>118</v>
      </c>
    </row>
    <row r="50" spans="1:18" ht="22.5" customHeight="1" x14ac:dyDescent="0.25">
      <c r="A50" s="3">
        <v>46175.471442939815</v>
      </c>
      <c r="B50" s="2" t="s">
        <v>167</v>
      </c>
      <c r="C50" s="2">
        <v>48565</v>
      </c>
      <c r="D50" s="2" t="s">
        <v>19</v>
      </c>
      <c r="E50" s="2" t="s">
        <v>20</v>
      </c>
      <c r="F50" s="2" t="s">
        <v>55</v>
      </c>
      <c r="G50" s="2" t="s">
        <v>22</v>
      </c>
      <c r="H50" s="2" t="s">
        <v>56</v>
      </c>
      <c r="I50" s="2" t="s">
        <v>57</v>
      </c>
      <c r="J50" s="2" t="s">
        <v>51</v>
      </c>
      <c r="K50" s="2" t="s">
        <v>26</v>
      </c>
      <c r="L50" s="2" t="s">
        <v>25</v>
      </c>
      <c r="M50" s="2" t="s">
        <v>64</v>
      </c>
      <c r="N50" s="2" t="s">
        <v>28</v>
      </c>
      <c r="O50" s="2" t="s">
        <v>29</v>
      </c>
      <c r="P50" s="2" t="s">
        <v>25</v>
      </c>
      <c r="Q50" s="2" t="s">
        <v>48</v>
      </c>
      <c r="R50" s="2" t="s">
        <v>31</v>
      </c>
    </row>
    <row r="51" spans="1:18" ht="22.5" customHeight="1" x14ac:dyDescent="0.25">
      <c r="A51" s="3">
        <v>46175.472804999998</v>
      </c>
      <c r="B51" s="2" t="s">
        <v>168</v>
      </c>
      <c r="C51" s="2">
        <v>42778</v>
      </c>
      <c r="D51" s="2" t="s">
        <v>19</v>
      </c>
      <c r="E51" s="2" t="s">
        <v>20</v>
      </c>
      <c r="F51" s="2" t="s">
        <v>55</v>
      </c>
      <c r="G51" s="2" t="s">
        <v>22</v>
      </c>
      <c r="H51" s="2" t="s">
        <v>56</v>
      </c>
      <c r="I51" s="2" t="s">
        <v>57</v>
      </c>
      <c r="J51" s="2" t="s">
        <v>25</v>
      </c>
      <c r="K51" s="2" t="s">
        <v>26</v>
      </c>
      <c r="L51" s="2" t="s">
        <v>25</v>
      </c>
      <c r="M51" s="2" t="s">
        <v>71</v>
      </c>
      <c r="N51" s="2" t="s">
        <v>41</v>
      </c>
      <c r="O51" s="2" t="s">
        <v>29</v>
      </c>
      <c r="P51" s="2" t="s">
        <v>25</v>
      </c>
      <c r="Q51" s="2" t="s">
        <v>68</v>
      </c>
      <c r="R51" s="2" t="s">
        <v>31</v>
      </c>
    </row>
    <row r="52" spans="1:18" ht="22.5" customHeight="1" x14ac:dyDescent="0.25">
      <c r="A52" s="3">
        <v>46175.473879571757</v>
      </c>
      <c r="B52" s="2" t="s">
        <v>169</v>
      </c>
      <c r="C52" s="2">
        <v>49805</v>
      </c>
      <c r="D52" s="2" t="s">
        <v>19</v>
      </c>
      <c r="E52" s="2" t="s">
        <v>20</v>
      </c>
      <c r="F52" s="2" t="s">
        <v>55</v>
      </c>
      <c r="G52" s="2" t="s">
        <v>22</v>
      </c>
      <c r="H52" s="2" t="s">
        <v>23</v>
      </c>
      <c r="I52" s="2" t="s">
        <v>170</v>
      </c>
      <c r="J52" s="2" t="s">
        <v>25</v>
      </c>
      <c r="K52" s="2" t="s">
        <v>26</v>
      </c>
      <c r="L52" s="2" t="s">
        <v>25</v>
      </c>
      <c r="M52" s="2" t="s">
        <v>71</v>
      </c>
      <c r="N52" s="2" t="s">
        <v>67</v>
      </c>
      <c r="O52" s="2" t="s">
        <v>29</v>
      </c>
      <c r="P52" s="2" t="s">
        <v>25</v>
      </c>
      <c r="Q52" s="2" t="s">
        <v>36</v>
      </c>
      <c r="R52" s="2" t="s">
        <v>171</v>
      </c>
    </row>
    <row r="53" spans="1:18" ht="22.5" customHeight="1" x14ac:dyDescent="0.25">
      <c r="A53" s="3">
        <v>46175.474360243054</v>
      </c>
      <c r="B53" s="2" t="s">
        <v>172</v>
      </c>
      <c r="C53" s="2">
        <v>44618</v>
      </c>
      <c r="D53" s="2" t="s">
        <v>19</v>
      </c>
      <c r="E53" s="2" t="s">
        <v>20</v>
      </c>
      <c r="F53" s="2" t="s">
        <v>55</v>
      </c>
      <c r="G53" s="2" t="s">
        <v>22</v>
      </c>
      <c r="H53" s="2" t="s">
        <v>23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64</v>
      </c>
      <c r="N53" s="2" t="s">
        <v>173</v>
      </c>
      <c r="O53" s="2" t="s">
        <v>105</v>
      </c>
      <c r="P53" s="2" t="s">
        <v>59</v>
      </c>
      <c r="Q53" s="2" t="s">
        <v>124</v>
      </c>
      <c r="R53" s="2" t="s">
        <v>118</v>
      </c>
    </row>
    <row r="54" spans="1:18" ht="22.5" customHeight="1" x14ac:dyDescent="0.25">
      <c r="A54" s="3">
        <v>46175.476193981478</v>
      </c>
      <c r="B54" s="2" t="s">
        <v>174</v>
      </c>
      <c r="C54" s="2">
        <v>46109</v>
      </c>
      <c r="D54" s="2" t="s">
        <v>19</v>
      </c>
      <c r="E54" s="2" t="s">
        <v>20</v>
      </c>
      <c r="F54" s="2" t="s">
        <v>21</v>
      </c>
      <c r="G54" s="2" t="s">
        <v>33</v>
      </c>
      <c r="H54" s="2" t="s">
        <v>23</v>
      </c>
      <c r="I54" s="2" t="s">
        <v>170</v>
      </c>
      <c r="J54" s="2" t="s">
        <v>25</v>
      </c>
      <c r="K54" s="2" t="s">
        <v>26</v>
      </c>
      <c r="L54" s="2" t="s">
        <v>39</v>
      </c>
      <c r="M54" s="2" t="s">
        <v>175</v>
      </c>
      <c r="N54" s="2" t="s">
        <v>92</v>
      </c>
      <c r="O54" s="2" t="s">
        <v>42</v>
      </c>
      <c r="P54" s="2" t="s">
        <v>35</v>
      </c>
      <c r="Q54" s="2" t="s">
        <v>149</v>
      </c>
      <c r="R54" s="2" t="s">
        <v>176</v>
      </c>
    </row>
    <row r="55" spans="1:18" ht="22.5" customHeight="1" x14ac:dyDescent="0.25">
      <c r="A55" s="3">
        <v>46175.479210057871</v>
      </c>
      <c r="B55" s="2" t="s">
        <v>177</v>
      </c>
      <c r="C55" s="2">
        <v>42506</v>
      </c>
      <c r="D55" s="2" t="s">
        <v>19</v>
      </c>
      <c r="E55" s="2" t="s">
        <v>20</v>
      </c>
      <c r="F55" s="2" t="s">
        <v>55</v>
      </c>
      <c r="G55" s="2" t="s">
        <v>33</v>
      </c>
      <c r="H55" s="2" t="s">
        <v>56</v>
      </c>
      <c r="I55" s="2" t="s">
        <v>46</v>
      </c>
      <c r="J55" s="2" t="s">
        <v>25</v>
      </c>
      <c r="K55" s="2" t="s">
        <v>26</v>
      </c>
      <c r="L55" s="2" t="s">
        <v>25</v>
      </c>
      <c r="M55" s="2" t="s">
        <v>27</v>
      </c>
      <c r="N55" s="2" t="s">
        <v>41</v>
      </c>
      <c r="O55" s="2" t="s">
        <v>42</v>
      </c>
      <c r="P55" s="2" t="s">
        <v>25</v>
      </c>
      <c r="Q55" s="2" t="s">
        <v>81</v>
      </c>
      <c r="R55" s="2" t="s">
        <v>44</v>
      </c>
    </row>
    <row r="56" spans="1:18" ht="22.5" customHeight="1" x14ac:dyDescent="0.25">
      <c r="A56" s="3">
        <v>46175.479335763885</v>
      </c>
      <c r="B56" s="2" t="s">
        <v>178</v>
      </c>
      <c r="C56" s="2">
        <v>28465</v>
      </c>
      <c r="D56" s="2" t="s">
        <v>19</v>
      </c>
      <c r="E56" s="2" t="s">
        <v>20</v>
      </c>
      <c r="F56" s="2" t="s">
        <v>21</v>
      </c>
      <c r="G56" s="2" t="s">
        <v>33</v>
      </c>
      <c r="H56" s="2" t="s">
        <v>56</v>
      </c>
      <c r="I56" s="2" t="s">
        <v>46</v>
      </c>
      <c r="J56" s="2" t="s">
        <v>63</v>
      </c>
      <c r="K56" s="2" t="s">
        <v>26</v>
      </c>
      <c r="L56" s="2" t="s">
        <v>25</v>
      </c>
      <c r="M56" s="2" t="s">
        <v>27</v>
      </c>
      <c r="N56" s="2" t="s">
        <v>28</v>
      </c>
      <c r="O56" s="2" t="s">
        <v>29</v>
      </c>
      <c r="P56" s="2" t="s">
        <v>35</v>
      </c>
      <c r="Q56" s="2" t="s">
        <v>179</v>
      </c>
      <c r="R56" s="2" t="s">
        <v>165</v>
      </c>
    </row>
    <row r="57" spans="1:18" ht="22.5" customHeight="1" x14ac:dyDescent="0.25">
      <c r="A57" s="3">
        <v>46175.479490300924</v>
      </c>
      <c r="B57" s="2" t="s">
        <v>180</v>
      </c>
      <c r="C57" s="2">
        <v>48345</v>
      </c>
      <c r="D57" s="2" t="s">
        <v>19</v>
      </c>
      <c r="E57" s="2" t="s">
        <v>20</v>
      </c>
      <c r="F57" s="2" t="s">
        <v>55</v>
      </c>
      <c r="G57" s="2" t="s">
        <v>22</v>
      </c>
      <c r="H57" s="2" t="s">
        <v>23</v>
      </c>
      <c r="I57" s="2" t="s">
        <v>170</v>
      </c>
      <c r="J57" s="2" t="s">
        <v>25</v>
      </c>
      <c r="K57" s="2" t="s">
        <v>26</v>
      </c>
      <c r="L57" s="2" t="s">
        <v>25</v>
      </c>
      <c r="M57" s="2" t="s">
        <v>71</v>
      </c>
      <c r="N57" s="2" t="s">
        <v>131</v>
      </c>
      <c r="O57" s="2" t="s">
        <v>29</v>
      </c>
      <c r="P57" s="2" t="s">
        <v>25</v>
      </c>
      <c r="Q57" s="2" t="s">
        <v>181</v>
      </c>
      <c r="R57" s="2" t="s">
        <v>75</v>
      </c>
    </row>
    <row r="58" spans="1:18" ht="22.5" customHeight="1" x14ac:dyDescent="0.25">
      <c r="A58" s="3">
        <v>46175.480617326393</v>
      </c>
      <c r="B58" s="2" t="s">
        <v>182</v>
      </c>
      <c r="C58" s="2">
        <v>42768</v>
      </c>
      <c r="D58" s="2" t="s">
        <v>19</v>
      </c>
      <c r="E58" s="2" t="s">
        <v>20</v>
      </c>
      <c r="F58" s="2" t="s">
        <v>55</v>
      </c>
      <c r="G58" s="2" t="s">
        <v>33</v>
      </c>
      <c r="H58" s="2" t="s">
        <v>56</v>
      </c>
      <c r="I58" s="2" t="s">
        <v>24</v>
      </c>
      <c r="J58" s="2" t="s">
        <v>51</v>
      </c>
      <c r="K58" s="2" t="s">
        <v>26</v>
      </c>
      <c r="L58" s="2" t="s">
        <v>25</v>
      </c>
      <c r="M58" s="2" t="s">
        <v>71</v>
      </c>
      <c r="N58" s="2" t="s">
        <v>135</v>
      </c>
      <c r="O58" s="2" t="s">
        <v>29</v>
      </c>
      <c r="P58" s="2" t="s">
        <v>35</v>
      </c>
      <c r="Q58" s="2" t="s">
        <v>81</v>
      </c>
      <c r="R58" s="2" t="s">
        <v>75</v>
      </c>
    </row>
    <row r="59" spans="1:18" ht="22.5" customHeight="1" x14ac:dyDescent="0.25">
      <c r="A59" s="3">
        <v>46175.481670370369</v>
      </c>
      <c r="B59" s="2" t="s">
        <v>183</v>
      </c>
      <c r="C59" s="2">
        <v>42857</v>
      </c>
      <c r="D59" s="2" t="s">
        <v>19</v>
      </c>
      <c r="E59" s="2" t="s">
        <v>20</v>
      </c>
      <c r="F59" s="2" t="s">
        <v>55</v>
      </c>
      <c r="G59" s="2" t="s">
        <v>22</v>
      </c>
      <c r="H59" s="2" t="s">
        <v>56</v>
      </c>
      <c r="I59" s="2" t="s">
        <v>24</v>
      </c>
      <c r="J59" s="2" t="s">
        <v>25</v>
      </c>
      <c r="K59" s="2" t="s">
        <v>26</v>
      </c>
      <c r="L59" s="2" t="s">
        <v>39</v>
      </c>
      <c r="M59" s="2" t="s">
        <v>71</v>
      </c>
      <c r="N59" s="2" t="s">
        <v>102</v>
      </c>
      <c r="O59" s="2" t="s">
        <v>29</v>
      </c>
      <c r="P59" s="2" t="s">
        <v>25</v>
      </c>
      <c r="Q59" s="2" t="s">
        <v>81</v>
      </c>
      <c r="R59" s="2" t="s">
        <v>31</v>
      </c>
    </row>
    <row r="60" spans="1:18" ht="22.5" customHeight="1" x14ac:dyDescent="0.25">
      <c r="A60" s="3">
        <v>46175.482738379629</v>
      </c>
      <c r="B60" s="2" t="s">
        <v>184</v>
      </c>
      <c r="C60" s="2">
        <v>43592</v>
      </c>
      <c r="D60" s="2" t="s">
        <v>19</v>
      </c>
      <c r="E60" s="2" t="s">
        <v>20</v>
      </c>
      <c r="F60" s="2" t="s">
        <v>55</v>
      </c>
      <c r="G60" s="2" t="s">
        <v>33</v>
      </c>
      <c r="H60" s="2" t="s">
        <v>56</v>
      </c>
      <c r="I60" s="2" t="s">
        <v>57</v>
      </c>
      <c r="J60" s="2" t="s">
        <v>63</v>
      </c>
      <c r="K60" s="2" t="s">
        <v>26</v>
      </c>
      <c r="L60" s="2" t="s">
        <v>25</v>
      </c>
      <c r="M60" s="2" t="s">
        <v>27</v>
      </c>
      <c r="N60" s="2" t="s">
        <v>28</v>
      </c>
      <c r="O60" s="2" t="s">
        <v>29</v>
      </c>
      <c r="P60" s="2" t="s">
        <v>25</v>
      </c>
      <c r="Q60" s="2" t="s">
        <v>185</v>
      </c>
      <c r="R60" s="2" t="s">
        <v>145</v>
      </c>
    </row>
    <row r="61" spans="1:18" ht="22.5" customHeight="1" x14ac:dyDescent="0.25">
      <c r="A61" s="3">
        <v>46175.48342981482</v>
      </c>
      <c r="B61" s="2" t="s">
        <v>186</v>
      </c>
      <c r="C61" s="2">
        <v>42059</v>
      </c>
      <c r="D61" s="2" t="s">
        <v>19</v>
      </c>
      <c r="E61" s="2" t="s">
        <v>20</v>
      </c>
      <c r="F61" s="2" t="s">
        <v>55</v>
      </c>
      <c r="G61" s="2" t="s">
        <v>62</v>
      </c>
      <c r="H61" s="2" t="s">
        <v>56</v>
      </c>
      <c r="I61" s="2" t="s">
        <v>57</v>
      </c>
      <c r="J61" s="2" t="s">
        <v>25</v>
      </c>
      <c r="K61" s="2" t="s">
        <v>26</v>
      </c>
      <c r="L61" s="2" t="s">
        <v>25</v>
      </c>
      <c r="M61" s="2" t="s">
        <v>40</v>
      </c>
      <c r="N61" s="2" t="s">
        <v>52</v>
      </c>
      <c r="O61" s="2" t="s">
        <v>29</v>
      </c>
      <c r="P61" s="2" t="s">
        <v>25</v>
      </c>
      <c r="Q61" s="2" t="s">
        <v>187</v>
      </c>
      <c r="R61" s="2" t="s">
        <v>86</v>
      </c>
    </row>
    <row r="62" spans="1:18" ht="22.5" customHeight="1" x14ac:dyDescent="0.25">
      <c r="A62" s="3">
        <v>46175.484655011576</v>
      </c>
      <c r="B62" s="2" t="s">
        <v>188</v>
      </c>
      <c r="C62" s="2">
        <v>42119</v>
      </c>
      <c r="D62" s="2" t="s">
        <v>19</v>
      </c>
      <c r="E62" s="2" t="s">
        <v>20</v>
      </c>
      <c r="F62" s="2" t="s">
        <v>55</v>
      </c>
      <c r="G62" s="2" t="s">
        <v>22</v>
      </c>
      <c r="H62" s="2" t="s">
        <v>70</v>
      </c>
      <c r="I62" s="2" t="s">
        <v>57</v>
      </c>
      <c r="J62" s="2" t="s">
        <v>51</v>
      </c>
      <c r="K62" s="2" t="s">
        <v>26</v>
      </c>
      <c r="L62" s="2" t="s">
        <v>39</v>
      </c>
      <c r="M62" s="2" t="s">
        <v>64</v>
      </c>
      <c r="N62" s="2" t="s">
        <v>154</v>
      </c>
      <c r="O62" s="2" t="s">
        <v>29</v>
      </c>
      <c r="P62" s="2" t="s">
        <v>63</v>
      </c>
      <c r="Q62" s="2" t="s">
        <v>68</v>
      </c>
      <c r="R62" s="2" t="s">
        <v>86</v>
      </c>
    </row>
    <row r="63" spans="1:18" ht="22.5" customHeight="1" x14ac:dyDescent="0.25">
      <c r="A63" s="3">
        <v>46175.48770006944</v>
      </c>
      <c r="B63" s="2" t="s">
        <v>189</v>
      </c>
      <c r="C63" s="2">
        <v>49188</v>
      </c>
      <c r="D63" s="2" t="s">
        <v>19</v>
      </c>
      <c r="E63" s="2" t="s">
        <v>20</v>
      </c>
      <c r="F63" s="2" t="s">
        <v>190</v>
      </c>
      <c r="G63" s="2" t="s">
        <v>130</v>
      </c>
      <c r="H63" s="2" t="s">
        <v>23</v>
      </c>
      <c r="I63" s="2" t="s">
        <v>127</v>
      </c>
      <c r="J63" s="2" t="s">
        <v>51</v>
      </c>
      <c r="K63" s="2" t="s">
        <v>26</v>
      </c>
      <c r="L63" s="2" t="s">
        <v>25</v>
      </c>
      <c r="M63" s="2" t="s">
        <v>27</v>
      </c>
      <c r="N63" s="2" t="s">
        <v>41</v>
      </c>
      <c r="O63" s="2" t="s">
        <v>29</v>
      </c>
      <c r="P63" s="2" t="s">
        <v>25</v>
      </c>
      <c r="Q63" s="2" t="s">
        <v>36</v>
      </c>
      <c r="R63" s="2" t="s">
        <v>53</v>
      </c>
    </row>
    <row r="64" spans="1:18" ht="22.5" customHeight="1" x14ac:dyDescent="0.25">
      <c r="A64" s="3">
        <v>46175.487950277777</v>
      </c>
      <c r="B64" s="2" t="s">
        <v>191</v>
      </c>
      <c r="C64" s="2">
        <v>48358</v>
      </c>
      <c r="D64" s="2" t="s">
        <v>19</v>
      </c>
      <c r="E64" s="2" t="s">
        <v>20</v>
      </c>
      <c r="F64" s="2" t="s">
        <v>55</v>
      </c>
      <c r="G64" s="2" t="s">
        <v>50</v>
      </c>
      <c r="H64" s="2" t="s">
        <v>23</v>
      </c>
      <c r="I64" s="2" t="s">
        <v>170</v>
      </c>
      <c r="J64" s="2" t="s">
        <v>51</v>
      </c>
      <c r="K64" s="2" t="s">
        <v>26</v>
      </c>
      <c r="L64" s="2" t="s">
        <v>25</v>
      </c>
      <c r="M64" s="2" t="s">
        <v>64</v>
      </c>
      <c r="N64" s="2" t="s">
        <v>52</v>
      </c>
      <c r="O64" s="2" t="s">
        <v>42</v>
      </c>
      <c r="P64" s="2" t="s">
        <v>35</v>
      </c>
      <c r="Q64" s="2" t="s">
        <v>192</v>
      </c>
      <c r="R64" s="2" t="s">
        <v>75</v>
      </c>
    </row>
    <row r="65" spans="1:18" ht="22.5" customHeight="1" x14ac:dyDescent="0.25">
      <c r="A65" s="3">
        <v>46175.491911087964</v>
      </c>
      <c r="B65" s="2" t="s">
        <v>193</v>
      </c>
      <c r="C65" s="2">
        <v>37910</v>
      </c>
      <c r="D65" s="2" t="s">
        <v>19</v>
      </c>
      <c r="E65" s="2" t="s">
        <v>20</v>
      </c>
      <c r="F65" s="2" t="s">
        <v>21</v>
      </c>
      <c r="G65" s="2" t="s">
        <v>33</v>
      </c>
      <c r="H65" s="2" t="s">
        <v>23</v>
      </c>
      <c r="I65" s="2" t="s">
        <v>46</v>
      </c>
      <c r="J65" s="2" t="s">
        <v>25</v>
      </c>
      <c r="K65" s="2" t="s">
        <v>26</v>
      </c>
      <c r="L65" s="2" t="s">
        <v>25</v>
      </c>
      <c r="M65" s="2" t="s">
        <v>194</v>
      </c>
      <c r="N65" s="2" t="s">
        <v>52</v>
      </c>
      <c r="O65" s="2" t="s">
        <v>42</v>
      </c>
      <c r="P65" s="2" t="s">
        <v>35</v>
      </c>
      <c r="Q65" s="2" t="s">
        <v>179</v>
      </c>
      <c r="R65" s="2" t="s">
        <v>72</v>
      </c>
    </row>
    <row r="66" spans="1:18" ht="22.5" customHeight="1" x14ac:dyDescent="0.25">
      <c r="A66" s="3">
        <v>46175.492498333333</v>
      </c>
      <c r="B66" s="2" t="s">
        <v>195</v>
      </c>
      <c r="C66" s="2">
        <v>40253</v>
      </c>
      <c r="D66" s="2" t="s">
        <v>19</v>
      </c>
      <c r="E66" s="2" t="s">
        <v>20</v>
      </c>
      <c r="F66" s="2" t="s">
        <v>190</v>
      </c>
      <c r="G66" s="2" t="s">
        <v>22</v>
      </c>
      <c r="H66" s="2" t="s">
        <v>56</v>
      </c>
      <c r="I66" s="2" t="s">
        <v>57</v>
      </c>
      <c r="J66" s="2" t="s">
        <v>25</v>
      </c>
      <c r="K66" s="2" t="s">
        <v>26</v>
      </c>
      <c r="L66" s="2" t="s">
        <v>25</v>
      </c>
      <c r="M66" s="2" t="s">
        <v>71</v>
      </c>
      <c r="N66" s="2" t="s">
        <v>131</v>
      </c>
      <c r="O66" s="2" t="s">
        <v>29</v>
      </c>
      <c r="P66" s="2" t="s">
        <v>25</v>
      </c>
      <c r="Q66" s="2" t="s">
        <v>94</v>
      </c>
      <c r="R66" s="2" t="s">
        <v>31</v>
      </c>
    </row>
    <row r="67" spans="1:18" ht="22.5" customHeight="1" x14ac:dyDescent="0.25">
      <c r="A67" s="3">
        <v>46175.492631053239</v>
      </c>
      <c r="B67" s="2" t="s">
        <v>196</v>
      </c>
      <c r="C67" s="2">
        <v>39096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197</v>
      </c>
      <c r="J67" s="2" t="s">
        <v>51</v>
      </c>
      <c r="K67" s="2" t="s">
        <v>26</v>
      </c>
      <c r="L67" s="2" t="s">
        <v>25</v>
      </c>
      <c r="M67" s="2" t="s">
        <v>27</v>
      </c>
      <c r="N67" s="2" t="s">
        <v>52</v>
      </c>
      <c r="O67" s="2" t="s">
        <v>42</v>
      </c>
      <c r="P67" s="2" t="s">
        <v>25</v>
      </c>
      <c r="Q67" s="2" t="s">
        <v>181</v>
      </c>
      <c r="R67" s="2" t="s">
        <v>198</v>
      </c>
    </row>
    <row r="68" spans="1:18" ht="22.5" customHeight="1" x14ac:dyDescent="0.25">
      <c r="A68" s="3">
        <v>46175.494952013891</v>
      </c>
      <c r="B68" s="2" t="s">
        <v>199</v>
      </c>
      <c r="C68" s="2">
        <v>47141</v>
      </c>
      <c r="D68" s="2" t="s">
        <v>19</v>
      </c>
      <c r="E68" s="2" t="s">
        <v>20</v>
      </c>
      <c r="F68" s="2" t="s">
        <v>55</v>
      </c>
      <c r="G68" s="2" t="s">
        <v>33</v>
      </c>
      <c r="H68" s="2" t="s">
        <v>56</v>
      </c>
      <c r="I68" s="2" t="s">
        <v>24</v>
      </c>
      <c r="J68" s="2" t="s">
        <v>51</v>
      </c>
      <c r="K68" s="2" t="s">
        <v>26</v>
      </c>
      <c r="L68" s="2" t="s">
        <v>25</v>
      </c>
      <c r="M68" s="2" t="s">
        <v>64</v>
      </c>
      <c r="N68" s="2" t="s">
        <v>28</v>
      </c>
      <c r="O68" s="2" t="s">
        <v>29</v>
      </c>
      <c r="P68" s="2" t="s">
        <v>25</v>
      </c>
      <c r="Q68" s="2" t="s">
        <v>200</v>
      </c>
      <c r="R68" s="2" t="s">
        <v>118</v>
      </c>
    </row>
    <row r="69" spans="1:18" ht="22.5" customHeight="1" x14ac:dyDescent="0.25">
      <c r="A69" s="3">
        <v>46175.497947870375</v>
      </c>
      <c r="B69" s="2" t="s">
        <v>201</v>
      </c>
      <c r="C69" s="2">
        <v>46707</v>
      </c>
      <c r="D69" s="2" t="s">
        <v>19</v>
      </c>
      <c r="E69" s="2" t="s">
        <v>20</v>
      </c>
      <c r="F69" s="2" t="s">
        <v>55</v>
      </c>
      <c r="G69" s="2" t="s">
        <v>33</v>
      </c>
      <c r="H69" s="2" t="s">
        <v>23</v>
      </c>
      <c r="I69" s="2" t="s">
        <v>57</v>
      </c>
      <c r="J69" s="2" t="s">
        <v>25</v>
      </c>
      <c r="K69" s="2" t="s">
        <v>26</v>
      </c>
      <c r="L69" s="2" t="s">
        <v>39</v>
      </c>
      <c r="M69" s="2" t="s">
        <v>27</v>
      </c>
      <c r="N69" s="2" t="s">
        <v>135</v>
      </c>
      <c r="O69" s="2" t="s">
        <v>29</v>
      </c>
      <c r="P69" s="2" t="s">
        <v>25</v>
      </c>
      <c r="Q69" s="2" t="s">
        <v>30</v>
      </c>
      <c r="R69" s="2" t="s">
        <v>53</v>
      </c>
    </row>
    <row r="70" spans="1:18" ht="22.5" customHeight="1" x14ac:dyDescent="0.25">
      <c r="A70" s="3">
        <v>46175.498598495367</v>
      </c>
      <c r="B70" s="2" t="s">
        <v>202</v>
      </c>
      <c r="C70" s="2">
        <v>42962</v>
      </c>
      <c r="D70" s="2" t="s">
        <v>19</v>
      </c>
      <c r="E70" s="2" t="s">
        <v>20</v>
      </c>
      <c r="F70" s="2" t="s">
        <v>55</v>
      </c>
      <c r="G70" s="2" t="s">
        <v>22</v>
      </c>
      <c r="H70" s="2" t="s">
        <v>56</v>
      </c>
      <c r="I70" s="2" t="s">
        <v>203</v>
      </c>
      <c r="J70" s="2" t="s">
        <v>25</v>
      </c>
      <c r="K70" s="2" t="s">
        <v>26</v>
      </c>
      <c r="L70" s="2" t="s">
        <v>39</v>
      </c>
      <c r="M70" s="2" t="s">
        <v>27</v>
      </c>
      <c r="N70" s="2" t="s">
        <v>148</v>
      </c>
      <c r="O70" s="2" t="s">
        <v>29</v>
      </c>
      <c r="P70" s="2" t="s">
        <v>25</v>
      </c>
      <c r="Q70" s="2" t="s">
        <v>204</v>
      </c>
      <c r="R70" s="2" t="s">
        <v>31</v>
      </c>
    </row>
    <row r="71" spans="1:18" ht="22.5" customHeight="1" x14ac:dyDescent="0.25">
      <c r="A71" s="3">
        <v>46175.501185624998</v>
      </c>
      <c r="B71" s="2" t="s">
        <v>205</v>
      </c>
      <c r="C71" s="2">
        <v>31006</v>
      </c>
      <c r="D71" s="2" t="s">
        <v>19</v>
      </c>
      <c r="E71" s="2" t="s">
        <v>20</v>
      </c>
      <c r="F71" s="2" t="s">
        <v>21</v>
      </c>
      <c r="G71" s="2" t="s">
        <v>62</v>
      </c>
      <c r="H71" s="2" t="s">
        <v>23</v>
      </c>
      <c r="I71" s="2" t="s">
        <v>97</v>
      </c>
      <c r="J71" s="2" t="s">
        <v>25</v>
      </c>
      <c r="K71" s="2" t="s">
        <v>26</v>
      </c>
      <c r="L71" s="2" t="s">
        <v>25</v>
      </c>
      <c r="M71" s="2" t="s">
        <v>27</v>
      </c>
      <c r="N71" s="2" t="s">
        <v>52</v>
      </c>
      <c r="O71" s="2" t="s">
        <v>29</v>
      </c>
      <c r="P71" s="2" t="s">
        <v>25</v>
      </c>
      <c r="Q71" s="2" t="s">
        <v>30</v>
      </c>
      <c r="R71" s="2" t="s">
        <v>206</v>
      </c>
    </row>
    <row r="72" spans="1:18" ht="22.5" customHeight="1" x14ac:dyDescent="0.25">
      <c r="A72" s="3">
        <v>46175.501903506942</v>
      </c>
      <c r="B72" s="2" t="s">
        <v>207</v>
      </c>
      <c r="C72" s="2">
        <v>35092</v>
      </c>
      <c r="D72" s="2" t="s">
        <v>19</v>
      </c>
      <c r="E72" s="2" t="s">
        <v>208</v>
      </c>
      <c r="F72" s="2" t="s">
        <v>209</v>
      </c>
      <c r="G72" s="2" t="s">
        <v>50</v>
      </c>
      <c r="H72" s="2" t="s">
        <v>23</v>
      </c>
      <c r="I72" s="2" t="s">
        <v>24</v>
      </c>
      <c r="J72" s="2" t="s">
        <v>51</v>
      </c>
      <c r="K72" s="2" t="s">
        <v>26</v>
      </c>
      <c r="L72" s="2" t="s">
        <v>25</v>
      </c>
      <c r="M72" s="2" t="s">
        <v>27</v>
      </c>
      <c r="N72" s="2" t="s">
        <v>210</v>
      </c>
      <c r="O72" s="2" t="s">
        <v>42</v>
      </c>
      <c r="P72" s="2" t="s">
        <v>35</v>
      </c>
      <c r="Q72" s="2" t="s">
        <v>90</v>
      </c>
      <c r="R72" s="2" t="s">
        <v>72</v>
      </c>
    </row>
    <row r="73" spans="1:18" ht="22.5" customHeight="1" x14ac:dyDescent="0.25">
      <c r="A73" s="3">
        <v>46175.504194733796</v>
      </c>
      <c r="B73" s="2" t="s">
        <v>211</v>
      </c>
      <c r="C73" s="2">
        <v>48711</v>
      </c>
      <c r="D73" s="2" t="s">
        <v>19</v>
      </c>
      <c r="E73" s="2" t="s">
        <v>20</v>
      </c>
      <c r="F73" s="2" t="s">
        <v>55</v>
      </c>
      <c r="G73" s="2" t="s">
        <v>130</v>
      </c>
      <c r="H73" s="2" t="s">
        <v>23</v>
      </c>
      <c r="I73" s="2" t="s">
        <v>46</v>
      </c>
      <c r="J73" s="2" t="s">
        <v>25</v>
      </c>
      <c r="K73" s="2" t="s">
        <v>26</v>
      </c>
      <c r="L73" s="2" t="s">
        <v>25</v>
      </c>
      <c r="M73" s="2" t="s">
        <v>71</v>
      </c>
      <c r="N73" s="2" t="s">
        <v>131</v>
      </c>
      <c r="O73" s="2" t="s">
        <v>42</v>
      </c>
      <c r="P73" s="2" t="s">
        <v>25</v>
      </c>
      <c r="Q73" s="2" t="s">
        <v>136</v>
      </c>
      <c r="R73" s="2" t="s">
        <v>118</v>
      </c>
    </row>
    <row r="74" spans="1:18" ht="22.5" customHeight="1" x14ac:dyDescent="0.25">
      <c r="A74" s="3">
        <v>46175.509098148148</v>
      </c>
      <c r="B74" s="2" t="s">
        <v>212</v>
      </c>
      <c r="C74" s="2">
        <v>38803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70</v>
      </c>
      <c r="I74" s="2" t="s">
        <v>57</v>
      </c>
      <c r="J74" s="2" t="s">
        <v>25</v>
      </c>
      <c r="K74" s="2" t="s">
        <v>26</v>
      </c>
      <c r="L74" s="2" t="s">
        <v>25</v>
      </c>
      <c r="M74" s="2" t="s">
        <v>27</v>
      </c>
      <c r="N74" s="2" t="s">
        <v>52</v>
      </c>
      <c r="O74" s="2" t="s">
        <v>42</v>
      </c>
      <c r="P74" s="2" t="s">
        <v>35</v>
      </c>
      <c r="Q74" s="2" t="s">
        <v>213</v>
      </c>
      <c r="R74" s="2" t="s">
        <v>31</v>
      </c>
    </row>
    <row r="75" spans="1:18" ht="22.5" customHeight="1" x14ac:dyDescent="0.25">
      <c r="A75" s="3">
        <v>46175.512465081018</v>
      </c>
      <c r="B75" s="2" t="s">
        <v>214</v>
      </c>
      <c r="C75" s="2">
        <v>34826</v>
      </c>
      <c r="D75" s="2" t="s">
        <v>19</v>
      </c>
      <c r="E75" s="2" t="s">
        <v>20</v>
      </c>
      <c r="F75" s="2" t="s">
        <v>21</v>
      </c>
      <c r="G75" s="2" t="s">
        <v>22</v>
      </c>
      <c r="H75" s="2" t="s">
        <v>23</v>
      </c>
      <c r="I75" s="2" t="s">
        <v>127</v>
      </c>
      <c r="J75" s="2" t="s">
        <v>51</v>
      </c>
      <c r="K75" s="2" t="s">
        <v>26</v>
      </c>
      <c r="L75" s="2" t="s">
        <v>25</v>
      </c>
      <c r="M75" s="2" t="s">
        <v>194</v>
      </c>
      <c r="N75" s="2" t="s">
        <v>52</v>
      </c>
      <c r="O75" s="2" t="s">
        <v>42</v>
      </c>
      <c r="P75" s="2" t="s">
        <v>35</v>
      </c>
      <c r="Q75" s="2" t="s">
        <v>215</v>
      </c>
      <c r="R75" s="2" t="s">
        <v>31</v>
      </c>
    </row>
    <row r="76" spans="1:18" ht="22.5" customHeight="1" x14ac:dyDescent="0.25">
      <c r="A76" s="3">
        <v>46175.517598796301</v>
      </c>
      <c r="B76" s="2" t="s">
        <v>216</v>
      </c>
      <c r="C76" s="2">
        <v>38940</v>
      </c>
      <c r="D76" s="2" t="s">
        <v>19</v>
      </c>
      <c r="E76" s="2" t="s">
        <v>217</v>
      </c>
      <c r="F76" s="2" t="s">
        <v>218</v>
      </c>
      <c r="G76" s="2" t="s">
        <v>33</v>
      </c>
      <c r="H76" s="2" t="s">
        <v>23</v>
      </c>
      <c r="I76" s="2" t="s">
        <v>24</v>
      </c>
      <c r="J76" s="2" t="s">
        <v>25</v>
      </c>
      <c r="K76" s="2" t="s">
        <v>26</v>
      </c>
      <c r="L76" s="2" t="s">
        <v>25</v>
      </c>
      <c r="M76" s="2" t="s">
        <v>27</v>
      </c>
      <c r="N76" s="2" t="s">
        <v>219</v>
      </c>
      <c r="O76" s="2" t="s">
        <v>42</v>
      </c>
      <c r="P76" s="2" t="s">
        <v>35</v>
      </c>
      <c r="Q76" s="2" t="s">
        <v>220</v>
      </c>
      <c r="R76" s="2" t="s">
        <v>160</v>
      </c>
    </row>
    <row r="77" spans="1:18" ht="22.5" customHeight="1" x14ac:dyDescent="0.25">
      <c r="A77" s="3">
        <v>46175.518419016204</v>
      </c>
      <c r="B77" s="2" t="s">
        <v>221</v>
      </c>
      <c r="C77" s="2">
        <v>33288</v>
      </c>
      <c r="D77" s="2" t="s">
        <v>19</v>
      </c>
      <c r="E77" s="2" t="s">
        <v>20</v>
      </c>
      <c r="F77" s="2" t="s">
        <v>21</v>
      </c>
      <c r="G77" s="2" t="s">
        <v>33</v>
      </c>
      <c r="H77" s="2" t="s">
        <v>56</v>
      </c>
      <c r="I77" s="2" t="s">
        <v>24</v>
      </c>
      <c r="J77" s="2" t="s">
        <v>25</v>
      </c>
      <c r="K77" s="2" t="s">
        <v>26</v>
      </c>
      <c r="L77" s="2" t="s">
        <v>25</v>
      </c>
      <c r="M77" s="2" t="s">
        <v>40</v>
      </c>
      <c r="N77" s="2" t="s">
        <v>52</v>
      </c>
      <c r="O77" s="2" t="s">
        <v>29</v>
      </c>
      <c r="P77" s="2" t="s">
        <v>25</v>
      </c>
      <c r="Q77" s="2" t="s">
        <v>222</v>
      </c>
      <c r="R77" s="2" t="s">
        <v>223</v>
      </c>
    </row>
    <row r="78" spans="1:18" ht="22.5" customHeight="1" x14ac:dyDescent="0.25">
      <c r="A78" s="3">
        <v>46175.527745486106</v>
      </c>
      <c r="B78" s="2" t="s">
        <v>224</v>
      </c>
      <c r="C78" s="2">
        <v>35321</v>
      </c>
      <c r="D78" s="2" t="s">
        <v>19</v>
      </c>
      <c r="E78" s="2" t="s">
        <v>20</v>
      </c>
      <c r="F78" s="2" t="s">
        <v>21</v>
      </c>
      <c r="G78" s="2" t="s">
        <v>33</v>
      </c>
      <c r="H78" s="2" t="s">
        <v>56</v>
      </c>
      <c r="I78" s="2" t="s">
        <v>57</v>
      </c>
      <c r="J78" s="2" t="s">
        <v>25</v>
      </c>
      <c r="K78" s="2" t="s">
        <v>26</v>
      </c>
      <c r="L78" s="2" t="s">
        <v>25</v>
      </c>
      <c r="M78" s="2" t="s">
        <v>27</v>
      </c>
      <c r="N78" s="2" t="s">
        <v>52</v>
      </c>
      <c r="O78" s="2" t="s">
        <v>29</v>
      </c>
      <c r="P78" s="2" t="s">
        <v>35</v>
      </c>
      <c r="Q78" s="2" t="s">
        <v>128</v>
      </c>
      <c r="R78" s="2" t="s">
        <v>65</v>
      </c>
    </row>
    <row r="79" spans="1:18" ht="22.5" customHeight="1" x14ac:dyDescent="0.25">
      <c r="A79" s="3">
        <v>46175.5360740162</v>
      </c>
      <c r="B79" s="2" t="s">
        <v>225</v>
      </c>
      <c r="C79" s="2">
        <v>41482</v>
      </c>
      <c r="D79" s="2" t="s">
        <v>19</v>
      </c>
      <c r="E79" s="2" t="s">
        <v>20</v>
      </c>
      <c r="F79" s="2" t="s">
        <v>55</v>
      </c>
      <c r="G79" s="2" t="s">
        <v>33</v>
      </c>
      <c r="H79" s="2" t="s">
        <v>56</v>
      </c>
      <c r="I79" s="2" t="s">
        <v>24</v>
      </c>
      <c r="J79" s="2" t="s">
        <v>51</v>
      </c>
      <c r="K79" s="2" t="s">
        <v>26</v>
      </c>
      <c r="L79" s="2" t="s">
        <v>39</v>
      </c>
      <c r="M79" s="2" t="s">
        <v>226</v>
      </c>
      <c r="N79" s="2" t="s">
        <v>102</v>
      </c>
      <c r="O79" s="2" t="s">
        <v>42</v>
      </c>
      <c r="P79" s="2" t="s">
        <v>59</v>
      </c>
      <c r="Q79" s="2" t="s">
        <v>43</v>
      </c>
      <c r="R79" s="2" t="s">
        <v>165</v>
      </c>
    </row>
    <row r="80" spans="1:18" ht="22.5" customHeight="1" x14ac:dyDescent="0.25">
      <c r="A80" s="3">
        <v>46175.558349791667</v>
      </c>
      <c r="B80" s="2" t="s">
        <v>227</v>
      </c>
      <c r="C80" s="2">
        <v>38992</v>
      </c>
      <c r="D80" s="2" t="s">
        <v>19</v>
      </c>
      <c r="E80" s="2" t="s">
        <v>20</v>
      </c>
      <c r="F80" s="2" t="s">
        <v>21</v>
      </c>
      <c r="G80" s="2" t="s">
        <v>228</v>
      </c>
      <c r="H80" s="2" t="s">
        <v>56</v>
      </c>
      <c r="I80" s="2" t="s">
        <v>170</v>
      </c>
      <c r="J80" s="2" t="s">
        <v>25</v>
      </c>
      <c r="K80" s="2" t="s">
        <v>26</v>
      </c>
      <c r="L80" s="2" t="s">
        <v>39</v>
      </c>
      <c r="M80" s="2" t="s">
        <v>175</v>
      </c>
      <c r="N80" s="2" t="s">
        <v>52</v>
      </c>
      <c r="O80" s="2" t="s">
        <v>29</v>
      </c>
      <c r="P80" s="2" t="s">
        <v>25</v>
      </c>
      <c r="Q80" s="2" t="s">
        <v>30</v>
      </c>
      <c r="R80" s="2" t="s">
        <v>75</v>
      </c>
    </row>
    <row r="81" spans="1:18" ht="22.5" customHeight="1" x14ac:dyDescent="0.25">
      <c r="A81" s="3">
        <v>46175.56315501158</v>
      </c>
      <c r="B81" s="2" t="s">
        <v>229</v>
      </c>
      <c r="C81" s="2">
        <v>38883</v>
      </c>
      <c r="D81" s="2" t="s">
        <v>19</v>
      </c>
      <c r="E81" s="2" t="s">
        <v>20</v>
      </c>
      <c r="F81" s="2" t="s">
        <v>21</v>
      </c>
      <c r="G81" s="2" t="s">
        <v>33</v>
      </c>
      <c r="H81" s="2" t="s">
        <v>23</v>
      </c>
      <c r="I81" s="2" t="s">
        <v>24</v>
      </c>
      <c r="J81" s="2" t="s">
        <v>25</v>
      </c>
      <c r="K81" s="2" t="s">
        <v>26</v>
      </c>
      <c r="L81" s="2" t="s">
        <v>39</v>
      </c>
      <c r="M81" s="2" t="s">
        <v>27</v>
      </c>
      <c r="N81" s="2" t="s">
        <v>52</v>
      </c>
      <c r="O81" s="2" t="s">
        <v>29</v>
      </c>
      <c r="P81" s="2" t="s">
        <v>35</v>
      </c>
      <c r="Q81" s="2" t="s">
        <v>128</v>
      </c>
      <c r="R81" s="2" t="s">
        <v>31</v>
      </c>
    </row>
    <row r="82" spans="1:18" ht="22.5" customHeight="1" x14ac:dyDescent="0.25">
      <c r="A82" s="3">
        <v>46175.567213460643</v>
      </c>
      <c r="B82" s="2" t="s">
        <v>230</v>
      </c>
      <c r="C82" s="2">
        <v>39174</v>
      </c>
      <c r="D82" s="2" t="s">
        <v>19</v>
      </c>
      <c r="E82" s="2" t="s">
        <v>20</v>
      </c>
      <c r="F82" s="2" t="s">
        <v>21</v>
      </c>
      <c r="G82" s="2" t="s">
        <v>33</v>
      </c>
      <c r="H82" s="2" t="s">
        <v>23</v>
      </c>
      <c r="I82" s="2" t="s">
        <v>127</v>
      </c>
      <c r="J82" s="2" t="s">
        <v>25</v>
      </c>
      <c r="K82" s="2" t="s">
        <v>26</v>
      </c>
      <c r="L82" s="2" t="s">
        <v>25</v>
      </c>
      <c r="M82" s="2" t="s">
        <v>27</v>
      </c>
      <c r="N82" s="2" t="s">
        <v>52</v>
      </c>
      <c r="O82" s="2" t="s">
        <v>105</v>
      </c>
      <c r="P82" s="2" t="s">
        <v>25</v>
      </c>
      <c r="Q82" s="2" t="s">
        <v>30</v>
      </c>
      <c r="R82" s="2" t="s">
        <v>86</v>
      </c>
    </row>
    <row r="83" spans="1:18" ht="22.5" customHeight="1" x14ac:dyDescent="0.25">
      <c r="A83" s="3">
        <v>46175.57048736111</v>
      </c>
      <c r="B83" s="2" t="s">
        <v>231</v>
      </c>
      <c r="C83" s="2">
        <v>40409</v>
      </c>
      <c r="D83" s="2" t="s">
        <v>19</v>
      </c>
      <c r="E83" s="2" t="s">
        <v>20</v>
      </c>
      <c r="F83" s="2" t="s">
        <v>21</v>
      </c>
      <c r="G83" s="2" t="s">
        <v>143</v>
      </c>
      <c r="H83" s="2" t="s">
        <v>23</v>
      </c>
      <c r="I83" s="2" t="s">
        <v>197</v>
      </c>
      <c r="J83" s="2" t="s">
        <v>51</v>
      </c>
      <c r="K83" s="2" t="s">
        <v>26</v>
      </c>
      <c r="L83" s="2" t="s">
        <v>39</v>
      </c>
      <c r="M83" s="2" t="s">
        <v>40</v>
      </c>
      <c r="N83" s="2" t="s">
        <v>52</v>
      </c>
      <c r="O83" s="2" t="s">
        <v>105</v>
      </c>
      <c r="P83" s="2" t="s">
        <v>59</v>
      </c>
      <c r="Q83" s="2" t="s">
        <v>68</v>
      </c>
      <c r="R83" s="2" t="s">
        <v>72</v>
      </c>
    </row>
    <row r="84" spans="1:18" ht="22.5" customHeight="1" x14ac:dyDescent="0.25">
      <c r="A84" s="3">
        <v>46175.571822650461</v>
      </c>
      <c r="B84" s="2" t="s">
        <v>232</v>
      </c>
      <c r="C84" s="2">
        <v>40351</v>
      </c>
      <c r="D84" s="2" t="s">
        <v>19</v>
      </c>
      <c r="E84" s="2" t="s">
        <v>20</v>
      </c>
      <c r="F84" s="2" t="s">
        <v>21</v>
      </c>
      <c r="G84" s="2" t="s">
        <v>33</v>
      </c>
      <c r="H84" s="2" t="s">
        <v>23</v>
      </c>
      <c r="I84" s="2" t="s">
        <v>46</v>
      </c>
      <c r="J84" s="2" t="s">
        <v>25</v>
      </c>
      <c r="K84" s="2" t="s">
        <v>25</v>
      </c>
      <c r="L84" s="2" t="s">
        <v>25</v>
      </c>
      <c r="M84" s="2" t="s">
        <v>40</v>
      </c>
      <c r="N84" s="2" t="s">
        <v>92</v>
      </c>
      <c r="O84" s="2" t="s">
        <v>29</v>
      </c>
      <c r="P84" s="2" t="s">
        <v>25</v>
      </c>
      <c r="Q84" s="2" t="s">
        <v>90</v>
      </c>
      <c r="R84" s="2" t="s">
        <v>233</v>
      </c>
    </row>
    <row r="85" spans="1:18" ht="22.5" customHeight="1" x14ac:dyDescent="0.25">
      <c r="A85" s="3">
        <v>46175.589982581019</v>
      </c>
      <c r="B85" s="2" t="s">
        <v>234</v>
      </c>
      <c r="C85" s="2">
        <v>44939</v>
      </c>
      <c r="D85" s="2" t="s">
        <v>19</v>
      </c>
      <c r="E85" s="2" t="s">
        <v>20</v>
      </c>
      <c r="F85" s="2" t="s">
        <v>55</v>
      </c>
      <c r="G85" s="2" t="s">
        <v>22</v>
      </c>
      <c r="H85" s="2" t="s">
        <v>56</v>
      </c>
      <c r="I85" s="2" t="s">
        <v>127</v>
      </c>
      <c r="J85" s="2" t="s">
        <v>51</v>
      </c>
      <c r="K85" s="2" t="s">
        <v>26</v>
      </c>
      <c r="L85" s="2" t="s">
        <v>39</v>
      </c>
      <c r="M85" s="2" t="s">
        <v>71</v>
      </c>
      <c r="N85" s="2" t="s">
        <v>148</v>
      </c>
      <c r="O85" s="2" t="s">
        <v>29</v>
      </c>
      <c r="P85" s="2" t="s">
        <v>25</v>
      </c>
      <c r="Q85" s="2" t="s">
        <v>220</v>
      </c>
      <c r="R85" s="2" t="s">
        <v>206</v>
      </c>
    </row>
    <row r="86" spans="1:18" ht="22.5" customHeight="1" x14ac:dyDescent="0.25">
      <c r="A86" s="3">
        <v>46175.592321550925</v>
      </c>
      <c r="B86" s="2" t="s">
        <v>235</v>
      </c>
      <c r="C86" s="2">
        <v>28038</v>
      </c>
      <c r="D86" s="2" t="s">
        <v>19</v>
      </c>
      <c r="E86" s="2" t="s">
        <v>20</v>
      </c>
      <c r="F86" s="2" t="s">
        <v>21</v>
      </c>
      <c r="G86" s="2" t="s">
        <v>50</v>
      </c>
      <c r="H86" s="2" t="s">
        <v>23</v>
      </c>
      <c r="I86" s="2" t="s">
        <v>24</v>
      </c>
      <c r="J86" s="2" t="s">
        <v>51</v>
      </c>
      <c r="K86" s="2" t="s">
        <v>26</v>
      </c>
      <c r="L86" s="2" t="s">
        <v>25</v>
      </c>
      <c r="M86" s="2" t="s">
        <v>40</v>
      </c>
      <c r="N86" s="2" t="s">
        <v>92</v>
      </c>
      <c r="O86" s="2" t="s">
        <v>42</v>
      </c>
      <c r="P86" s="2" t="s">
        <v>35</v>
      </c>
      <c r="Q86" s="2" t="s">
        <v>181</v>
      </c>
      <c r="R86" s="2" t="s">
        <v>75</v>
      </c>
    </row>
    <row r="87" spans="1:18" ht="22.5" customHeight="1" x14ac:dyDescent="0.25">
      <c r="A87" s="3">
        <v>46175.609654861109</v>
      </c>
      <c r="B87" s="2" t="s">
        <v>236</v>
      </c>
      <c r="C87" s="2">
        <v>48714</v>
      </c>
      <c r="D87" s="2" t="s">
        <v>19</v>
      </c>
      <c r="E87" s="2" t="s">
        <v>20</v>
      </c>
      <c r="F87" s="2" t="s">
        <v>55</v>
      </c>
      <c r="G87" s="2" t="s">
        <v>22</v>
      </c>
      <c r="H87" s="2" t="s">
        <v>23</v>
      </c>
      <c r="I87" s="2" t="s">
        <v>24</v>
      </c>
      <c r="J87" s="2" t="s">
        <v>63</v>
      </c>
      <c r="K87" s="2" t="s">
        <v>26</v>
      </c>
      <c r="L87" s="2" t="s">
        <v>25</v>
      </c>
      <c r="M87" s="2" t="s">
        <v>71</v>
      </c>
      <c r="N87" s="2" t="s">
        <v>92</v>
      </c>
      <c r="O87" s="2" t="s">
        <v>29</v>
      </c>
      <c r="P87" s="2" t="s">
        <v>25</v>
      </c>
      <c r="Q87" s="2" t="s">
        <v>43</v>
      </c>
      <c r="R87" s="2" t="s">
        <v>44</v>
      </c>
    </row>
    <row r="88" spans="1:18" ht="22.5" customHeight="1" x14ac:dyDescent="0.25">
      <c r="A88" s="3">
        <v>46175.655024386579</v>
      </c>
      <c r="B88" s="2" t="s">
        <v>237</v>
      </c>
      <c r="C88" s="2">
        <v>38709</v>
      </c>
      <c r="D88" s="2" t="s">
        <v>19</v>
      </c>
      <c r="E88" s="2" t="s">
        <v>20</v>
      </c>
      <c r="F88" s="2" t="s">
        <v>21</v>
      </c>
      <c r="G88" s="2" t="s">
        <v>50</v>
      </c>
      <c r="H88" s="2" t="s">
        <v>23</v>
      </c>
      <c r="I88" s="2" t="s">
        <v>24</v>
      </c>
      <c r="J88" s="2" t="s">
        <v>51</v>
      </c>
      <c r="K88" s="2" t="s">
        <v>26</v>
      </c>
      <c r="L88" s="2" t="s">
        <v>39</v>
      </c>
      <c r="M88" s="2" t="s">
        <v>27</v>
      </c>
      <c r="N88" s="2" t="s">
        <v>52</v>
      </c>
      <c r="O88" s="2" t="s">
        <v>29</v>
      </c>
      <c r="P88" s="2" t="s">
        <v>35</v>
      </c>
      <c r="Q88" s="2" t="s">
        <v>36</v>
      </c>
      <c r="R88" s="2" t="s">
        <v>65</v>
      </c>
    </row>
    <row r="89" spans="1:18" ht="22.5" customHeight="1" x14ac:dyDescent="0.25">
      <c r="A89" s="3">
        <v>46175.681630659717</v>
      </c>
      <c r="B89" s="2" t="s">
        <v>238</v>
      </c>
      <c r="C89" s="2">
        <v>49773</v>
      </c>
      <c r="D89" s="2" t="s">
        <v>19</v>
      </c>
      <c r="E89" s="2" t="s">
        <v>20</v>
      </c>
      <c r="F89" s="2" t="s">
        <v>190</v>
      </c>
      <c r="G89" s="2" t="s">
        <v>130</v>
      </c>
      <c r="H89" s="2" t="s">
        <v>56</v>
      </c>
      <c r="I89" s="2" t="s">
        <v>24</v>
      </c>
      <c r="J89" s="2" t="s">
        <v>51</v>
      </c>
      <c r="K89" s="2" t="s">
        <v>26</v>
      </c>
      <c r="L89" s="2" t="s">
        <v>25</v>
      </c>
      <c r="M89" s="2" t="s">
        <v>47</v>
      </c>
      <c r="N89" s="2" t="s">
        <v>219</v>
      </c>
      <c r="O89" s="2" t="s">
        <v>29</v>
      </c>
      <c r="P89" s="2" t="s">
        <v>25</v>
      </c>
      <c r="Q89" s="2" t="s">
        <v>128</v>
      </c>
      <c r="R89" s="2" t="s">
        <v>65</v>
      </c>
    </row>
    <row r="90" spans="1:18" ht="22.5" customHeight="1" x14ac:dyDescent="0.25">
      <c r="A90" s="3">
        <v>46175.774125613425</v>
      </c>
      <c r="B90" s="2" t="s">
        <v>239</v>
      </c>
      <c r="C90" s="2">
        <v>34791</v>
      </c>
      <c r="D90" s="2" t="s">
        <v>19</v>
      </c>
      <c r="E90" s="2" t="s">
        <v>20</v>
      </c>
      <c r="F90" s="2" t="s">
        <v>117</v>
      </c>
      <c r="G90" s="2" t="s">
        <v>50</v>
      </c>
      <c r="H90" s="2" t="s">
        <v>23</v>
      </c>
      <c r="I90" s="2" t="s">
        <v>24</v>
      </c>
      <c r="J90" s="2" t="s">
        <v>25</v>
      </c>
      <c r="K90" s="2" t="s">
        <v>26</v>
      </c>
      <c r="L90" s="2" t="s">
        <v>25</v>
      </c>
      <c r="M90" s="2" t="s">
        <v>64</v>
      </c>
      <c r="N90" s="2" t="s">
        <v>154</v>
      </c>
      <c r="O90" s="2" t="s">
        <v>29</v>
      </c>
      <c r="P90" s="2" t="s">
        <v>25</v>
      </c>
      <c r="Q90" s="2" t="s">
        <v>240</v>
      </c>
      <c r="R90" s="2" t="s">
        <v>233</v>
      </c>
    </row>
    <row r="91" spans="1:18" ht="22.5" customHeight="1" x14ac:dyDescent="0.25">
      <c r="A91" s="3">
        <v>46175.83940986111</v>
      </c>
      <c r="B91" s="2" t="s">
        <v>241</v>
      </c>
      <c r="C91" s="2">
        <v>48180</v>
      </c>
      <c r="D91" s="2" t="s">
        <v>19</v>
      </c>
      <c r="E91" s="2" t="s">
        <v>20</v>
      </c>
      <c r="F91" s="2" t="s">
        <v>55</v>
      </c>
      <c r="G91" s="2" t="s">
        <v>22</v>
      </c>
      <c r="H91" s="2" t="s">
        <v>23</v>
      </c>
      <c r="I91" s="2" t="s">
        <v>170</v>
      </c>
      <c r="J91" s="2" t="s">
        <v>25</v>
      </c>
      <c r="K91" s="2" t="s">
        <v>26</v>
      </c>
      <c r="L91" s="2" t="s">
        <v>25</v>
      </c>
      <c r="M91" s="2" t="s">
        <v>64</v>
      </c>
      <c r="N91" s="2" t="s">
        <v>28</v>
      </c>
      <c r="O91" s="2" t="s">
        <v>29</v>
      </c>
      <c r="P91" s="2" t="s">
        <v>35</v>
      </c>
      <c r="Q91" s="2" t="s">
        <v>100</v>
      </c>
      <c r="R91" s="2" t="s">
        <v>75</v>
      </c>
    </row>
    <row r="92" spans="1:18" ht="22.5" customHeight="1" x14ac:dyDescent="0.25">
      <c r="A92" s="3">
        <v>46176.025719837962</v>
      </c>
      <c r="B92" s="2" t="s">
        <v>242</v>
      </c>
      <c r="C92" s="2">
        <v>35044</v>
      </c>
      <c r="D92" s="2" t="s">
        <v>19</v>
      </c>
      <c r="E92" s="2" t="s">
        <v>20</v>
      </c>
      <c r="F92" s="2" t="s">
        <v>21</v>
      </c>
      <c r="G92" s="2" t="s">
        <v>33</v>
      </c>
      <c r="H92" s="2" t="s">
        <v>23</v>
      </c>
      <c r="I92" s="2" t="s">
        <v>24</v>
      </c>
      <c r="J92" s="2" t="s">
        <v>25</v>
      </c>
      <c r="K92" s="2" t="s">
        <v>26</v>
      </c>
      <c r="L92" s="2" t="s">
        <v>25</v>
      </c>
      <c r="M92" s="2" t="s">
        <v>27</v>
      </c>
      <c r="N92" s="2" t="s">
        <v>52</v>
      </c>
      <c r="O92" s="2" t="s">
        <v>29</v>
      </c>
      <c r="P92" s="2" t="s">
        <v>63</v>
      </c>
      <c r="Q92" s="2" t="s">
        <v>124</v>
      </c>
      <c r="R92" s="2" t="s">
        <v>165</v>
      </c>
    </row>
    <row r="93" spans="1:18" ht="22.5" customHeight="1" x14ac:dyDescent="0.25">
      <c r="A93" s="3">
        <v>46176.362813136569</v>
      </c>
      <c r="B93" s="2" t="s">
        <v>243</v>
      </c>
      <c r="C93" s="2">
        <v>45844</v>
      </c>
      <c r="D93" s="2" t="s">
        <v>19</v>
      </c>
      <c r="E93" s="2" t="s">
        <v>20</v>
      </c>
      <c r="F93" s="2" t="s">
        <v>21</v>
      </c>
      <c r="G93" s="2" t="s">
        <v>22</v>
      </c>
      <c r="H93" s="2" t="s">
        <v>23</v>
      </c>
      <c r="I93" s="2" t="s">
        <v>24</v>
      </c>
      <c r="J93" s="2" t="s">
        <v>51</v>
      </c>
      <c r="K93" s="2" t="s">
        <v>26</v>
      </c>
      <c r="L93" s="2" t="s">
        <v>25</v>
      </c>
      <c r="M93" s="2" t="s">
        <v>27</v>
      </c>
      <c r="N93" s="2" t="s">
        <v>52</v>
      </c>
      <c r="O93" s="2" t="s">
        <v>93</v>
      </c>
      <c r="P93" s="2" t="s">
        <v>35</v>
      </c>
      <c r="Q93" s="2" t="s">
        <v>133</v>
      </c>
      <c r="R93" s="2" t="s">
        <v>244</v>
      </c>
    </row>
    <row r="94" spans="1:18" ht="22.5" customHeight="1" x14ac:dyDescent="0.25">
      <c r="A94" s="3">
        <v>46176.437751608799</v>
      </c>
      <c r="B94" s="2" t="s">
        <v>245</v>
      </c>
      <c r="C94" s="2">
        <v>37973</v>
      </c>
      <c r="D94" s="2" t="s">
        <v>19</v>
      </c>
      <c r="E94" s="2" t="s">
        <v>246</v>
      </c>
      <c r="F94" s="2" t="s">
        <v>247</v>
      </c>
      <c r="G94" s="2" t="s">
        <v>50</v>
      </c>
      <c r="H94" s="2" t="s">
        <v>23</v>
      </c>
      <c r="I94" s="2" t="s">
        <v>24</v>
      </c>
      <c r="J94" s="2" t="s">
        <v>51</v>
      </c>
      <c r="K94" s="2" t="s">
        <v>26</v>
      </c>
      <c r="L94" s="2" t="s">
        <v>25</v>
      </c>
      <c r="M94" s="2" t="s">
        <v>27</v>
      </c>
      <c r="N94" s="2" t="s">
        <v>135</v>
      </c>
      <c r="O94" s="2" t="s">
        <v>29</v>
      </c>
      <c r="P94" s="2" t="s">
        <v>25</v>
      </c>
      <c r="Q94" s="2" t="s">
        <v>248</v>
      </c>
      <c r="R94" s="2" t="s">
        <v>86</v>
      </c>
    </row>
    <row r="95" spans="1:18" ht="22.5" customHeight="1" x14ac:dyDescent="0.25">
      <c r="A95" s="3">
        <v>46176.542600127315</v>
      </c>
      <c r="B95" s="2" t="s">
        <v>249</v>
      </c>
      <c r="C95" s="2">
        <v>44097</v>
      </c>
      <c r="D95" s="2" t="s">
        <v>19</v>
      </c>
      <c r="E95" s="2" t="s">
        <v>20</v>
      </c>
      <c r="F95" s="2" t="s">
        <v>55</v>
      </c>
      <c r="G95" s="2" t="s">
        <v>50</v>
      </c>
      <c r="H95" s="2" t="s">
        <v>23</v>
      </c>
      <c r="I95" s="2" t="s">
        <v>24</v>
      </c>
      <c r="J95" s="2" t="s">
        <v>51</v>
      </c>
      <c r="K95" s="2" t="s">
        <v>25</v>
      </c>
      <c r="L95" s="2" t="s">
        <v>25</v>
      </c>
      <c r="M95" s="2" t="s">
        <v>71</v>
      </c>
      <c r="N95" s="2" t="s">
        <v>28</v>
      </c>
      <c r="O95" s="2" t="s">
        <v>29</v>
      </c>
      <c r="P95" s="2" t="s">
        <v>35</v>
      </c>
      <c r="Q95" s="2" t="s">
        <v>100</v>
      </c>
      <c r="R95" s="2" t="s">
        <v>31</v>
      </c>
    </row>
    <row r="96" spans="1:18" ht="22.5" customHeight="1" x14ac:dyDescent="0.25">
      <c r="A96" s="3">
        <v>46181.40541871528</v>
      </c>
      <c r="B96" s="2" t="s">
        <v>250</v>
      </c>
      <c r="C96" s="2">
        <v>42747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 t="s">
        <v>24</v>
      </c>
      <c r="J96" s="2" t="s">
        <v>51</v>
      </c>
      <c r="K96" s="2" t="s">
        <v>26</v>
      </c>
      <c r="L96" s="2" t="s">
        <v>39</v>
      </c>
      <c r="M96" s="2" t="s">
        <v>47</v>
      </c>
      <c r="N96" s="2" t="s">
        <v>41</v>
      </c>
      <c r="O96" s="2" t="s">
        <v>29</v>
      </c>
      <c r="P96" s="2" t="s">
        <v>35</v>
      </c>
      <c r="Q96" s="2" t="s">
        <v>124</v>
      </c>
      <c r="R96" s="2" t="s">
        <v>165</v>
      </c>
    </row>
    <row r="97" spans="1:18" ht="22.5" customHeight="1" x14ac:dyDescent="0.25">
      <c r="A97" s="3">
        <v>46181.493308368052</v>
      </c>
      <c r="B97" s="2" t="s">
        <v>251</v>
      </c>
      <c r="C97" s="2">
        <v>35204</v>
      </c>
      <c r="D97" s="2" t="s">
        <v>19</v>
      </c>
      <c r="E97" s="2" t="s">
        <v>20</v>
      </c>
      <c r="F97" s="2" t="s">
        <v>21</v>
      </c>
      <c r="G97" s="2" t="s">
        <v>33</v>
      </c>
      <c r="H97" s="2" t="s">
        <v>23</v>
      </c>
      <c r="I97" s="2" t="s">
        <v>170</v>
      </c>
      <c r="J97" s="2" t="s">
        <v>25</v>
      </c>
      <c r="K97" s="2" t="s">
        <v>26</v>
      </c>
      <c r="L97" s="2" t="s">
        <v>39</v>
      </c>
      <c r="M97" s="2" t="s">
        <v>27</v>
      </c>
      <c r="N97" s="2" t="s">
        <v>52</v>
      </c>
      <c r="O97" s="2" t="s">
        <v>29</v>
      </c>
      <c r="P97" s="2" t="s">
        <v>35</v>
      </c>
      <c r="Q97" s="2" t="s">
        <v>128</v>
      </c>
      <c r="R97" s="2" t="s">
        <v>75</v>
      </c>
    </row>
    <row r="98" spans="1:18" ht="22.5" customHeight="1" x14ac:dyDescent="0.25">
      <c r="A98" s="3">
        <v>46181.496814525468</v>
      </c>
      <c r="B98" s="2" t="s">
        <v>252</v>
      </c>
      <c r="C98" s="2">
        <v>32387</v>
      </c>
      <c r="D98" s="2" t="s">
        <v>19</v>
      </c>
      <c r="E98" s="2" t="s">
        <v>20</v>
      </c>
      <c r="F98" s="2" t="s">
        <v>21</v>
      </c>
      <c r="G98" s="2" t="s">
        <v>33</v>
      </c>
      <c r="H98" s="2" t="s">
        <v>56</v>
      </c>
      <c r="I98" s="2" t="s">
        <v>253</v>
      </c>
      <c r="J98" s="2" t="s">
        <v>51</v>
      </c>
      <c r="K98" s="2" t="s">
        <v>26</v>
      </c>
      <c r="L98" s="2" t="s">
        <v>25</v>
      </c>
      <c r="M98" s="2" t="s">
        <v>27</v>
      </c>
      <c r="N98" s="2" t="s">
        <v>52</v>
      </c>
      <c r="O98" s="2" t="s">
        <v>29</v>
      </c>
      <c r="P98" s="2" t="s">
        <v>25</v>
      </c>
      <c r="Q98" s="2" t="s">
        <v>43</v>
      </c>
      <c r="R98" s="2" t="s">
        <v>44</v>
      </c>
    </row>
    <row r="99" spans="1:18" ht="22.5" customHeight="1" x14ac:dyDescent="0.25">
      <c r="A99" s="3">
        <v>46181.499006655096</v>
      </c>
      <c r="B99" s="2" t="s">
        <v>254</v>
      </c>
      <c r="C99" s="2">
        <v>34940</v>
      </c>
      <c r="D99" s="2" t="s">
        <v>19</v>
      </c>
      <c r="E99" s="2" t="s">
        <v>20</v>
      </c>
      <c r="F99" s="2" t="s">
        <v>21</v>
      </c>
      <c r="G99" s="2" t="s">
        <v>33</v>
      </c>
      <c r="H99" s="2" t="s">
        <v>56</v>
      </c>
      <c r="I99" s="2" t="s">
        <v>57</v>
      </c>
      <c r="J99" s="2" t="s">
        <v>51</v>
      </c>
      <c r="K99" s="2" t="s">
        <v>26</v>
      </c>
      <c r="L99" s="2" t="s">
        <v>39</v>
      </c>
      <c r="M99" s="2" t="s">
        <v>255</v>
      </c>
      <c r="N99" s="2" t="s">
        <v>92</v>
      </c>
      <c r="O99" s="2" t="s">
        <v>29</v>
      </c>
      <c r="P99" s="2" t="s">
        <v>25</v>
      </c>
      <c r="Q99" s="2" t="s">
        <v>185</v>
      </c>
      <c r="R99" s="2" t="s">
        <v>37</v>
      </c>
    </row>
    <row r="100" spans="1:18" ht="22.5" customHeight="1" x14ac:dyDescent="0.25">
      <c r="A100" s="3">
        <v>46182.410965300922</v>
      </c>
      <c r="B100" s="2" t="s">
        <v>256</v>
      </c>
      <c r="C100" s="2">
        <v>28403</v>
      </c>
      <c r="D100" s="2" t="s">
        <v>19</v>
      </c>
      <c r="E100" s="2" t="s">
        <v>20</v>
      </c>
      <c r="F100" s="2" t="s">
        <v>21</v>
      </c>
      <c r="G100" s="2" t="s">
        <v>33</v>
      </c>
      <c r="H100" s="2" t="s">
        <v>23</v>
      </c>
      <c r="I100" s="2" t="s">
        <v>127</v>
      </c>
      <c r="J100" s="2" t="s">
        <v>25</v>
      </c>
      <c r="K100" s="2" t="s">
        <v>26</v>
      </c>
      <c r="L100" s="2" t="s">
        <v>39</v>
      </c>
      <c r="M100" s="2" t="s">
        <v>255</v>
      </c>
      <c r="N100" s="2" t="s">
        <v>28</v>
      </c>
      <c r="O100" s="2" t="s">
        <v>29</v>
      </c>
      <c r="P100" s="2" t="s">
        <v>35</v>
      </c>
      <c r="Q100" s="2" t="s">
        <v>43</v>
      </c>
      <c r="R100" s="2" t="s">
        <v>257</v>
      </c>
    </row>
    <row r="101" spans="1:18" ht="22.5" customHeight="1" x14ac:dyDescent="0.25">
      <c r="A101" s="3">
        <v>46182.412796342593</v>
      </c>
      <c r="B101" s="2" t="s">
        <v>258</v>
      </c>
      <c r="C101" s="2">
        <v>34794</v>
      </c>
      <c r="D101" s="2" t="s">
        <v>19</v>
      </c>
      <c r="E101" s="2" t="s">
        <v>20</v>
      </c>
      <c r="F101" s="2" t="s">
        <v>21</v>
      </c>
      <c r="G101" s="2" t="s">
        <v>33</v>
      </c>
      <c r="H101" s="2" t="s">
        <v>23</v>
      </c>
      <c r="I101" s="2" t="s">
        <v>253</v>
      </c>
      <c r="J101" s="2" t="s">
        <v>51</v>
      </c>
      <c r="K101" s="2" t="s">
        <v>26</v>
      </c>
      <c r="L101" s="2" t="s">
        <v>39</v>
      </c>
      <c r="M101" s="2" t="s">
        <v>27</v>
      </c>
      <c r="N101" s="2" t="s">
        <v>67</v>
      </c>
      <c r="O101" s="2" t="s">
        <v>29</v>
      </c>
      <c r="P101" s="2" t="s">
        <v>25</v>
      </c>
      <c r="Q101" s="2" t="s">
        <v>43</v>
      </c>
      <c r="R101" s="2" t="s">
        <v>37</v>
      </c>
    </row>
    <row r="102" spans="1:18" ht="22.5" customHeight="1" x14ac:dyDescent="0.25">
      <c r="A102" s="3">
        <v>46182.415567037038</v>
      </c>
      <c r="B102" s="2" t="s">
        <v>259</v>
      </c>
      <c r="C102" s="2">
        <v>30462</v>
      </c>
      <c r="D102" s="2" t="s">
        <v>19</v>
      </c>
      <c r="E102" s="2" t="s">
        <v>20</v>
      </c>
      <c r="F102" s="2" t="s">
        <v>21</v>
      </c>
      <c r="G102" s="2" t="s">
        <v>33</v>
      </c>
      <c r="H102" s="2" t="s">
        <v>56</v>
      </c>
      <c r="I102" s="2" t="s">
        <v>253</v>
      </c>
      <c r="J102" s="2" t="s">
        <v>63</v>
      </c>
      <c r="K102" s="2" t="s">
        <v>26</v>
      </c>
      <c r="L102" s="2" t="s">
        <v>25</v>
      </c>
      <c r="M102" s="2" t="s">
        <v>27</v>
      </c>
      <c r="N102" s="2" t="s">
        <v>41</v>
      </c>
      <c r="O102" s="2" t="s">
        <v>105</v>
      </c>
      <c r="P102" s="2" t="s">
        <v>25</v>
      </c>
      <c r="Q102" s="2" t="s">
        <v>260</v>
      </c>
      <c r="R102" s="2" t="s">
        <v>165</v>
      </c>
    </row>
    <row r="103" spans="1:18" ht="22.5" customHeight="1" x14ac:dyDescent="0.25">
      <c r="A103" s="3">
        <v>46182.418878773147</v>
      </c>
      <c r="B103" s="2" t="s">
        <v>261</v>
      </c>
      <c r="C103" s="2">
        <v>30193</v>
      </c>
      <c r="D103" s="2" t="s">
        <v>19</v>
      </c>
      <c r="E103" s="2" t="s">
        <v>20</v>
      </c>
      <c r="F103" s="2" t="s">
        <v>21</v>
      </c>
      <c r="G103" s="2" t="s">
        <v>33</v>
      </c>
      <c r="H103" s="2" t="s">
        <v>23</v>
      </c>
      <c r="I103" s="2" t="s">
        <v>127</v>
      </c>
      <c r="J103" s="2" t="s">
        <v>51</v>
      </c>
      <c r="K103" s="2" t="s">
        <v>26</v>
      </c>
      <c r="L103" s="2" t="s">
        <v>39</v>
      </c>
      <c r="M103" s="2" t="s">
        <v>27</v>
      </c>
      <c r="N103" s="2" t="s">
        <v>92</v>
      </c>
      <c r="O103" s="2" t="s">
        <v>42</v>
      </c>
      <c r="P103" s="2" t="s">
        <v>35</v>
      </c>
      <c r="Q103" s="2" t="s">
        <v>133</v>
      </c>
      <c r="R103" s="2" t="s">
        <v>165</v>
      </c>
    </row>
    <row r="104" spans="1:18" ht="22.5" customHeight="1" x14ac:dyDescent="0.25">
      <c r="A104" s="3">
        <v>46182.484887523147</v>
      </c>
      <c r="B104" s="2" t="s">
        <v>262</v>
      </c>
      <c r="C104" s="2">
        <v>44860</v>
      </c>
      <c r="D104" s="2" t="s">
        <v>19</v>
      </c>
      <c r="E104" s="2" t="s">
        <v>20</v>
      </c>
      <c r="F104" s="2" t="s">
        <v>263</v>
      </c>
      <c r="G104" s="2" t="s">
        <v>22</v>
      </c>
      <c r="H104" s="2" t="s">
        <v>23</v>
      </c>
      <c r="I104" s="2" t="s">
        <v>24</v>
      </c>
      <c r="J104" s="2" t="s">
        <v>25</v>
      </c>
      <c r="K104" s="2" t="s">
        <v>26</v>
      </c>
      <c r="L104" s="2" t="s">
        <v>25</v>
      </c>
      <c r="M104" s="2" t="s">
        <v>27</v>
      </c>
      <c r="N104" s="2" t="s">
        <v>92</v>
      </c>
      <c r="O104" s="2" t="s">
        <v>29</v>
      </c>
      <c r="P104" s="2" t="s">
        <v>35</v>
      </c>
      <c r="Q104" s="2" t="s">
        <v>264</v>
      </c>
      <c r="R104" s="2" t="s">
        <v>31</v>
      </c>
    </row>
    <row r="105" spans="1:18" ht="22.5" customHeight="1" x14ac:dyDescent="0.25">
      <c r="A105" s="3">
        <v>46182.48531447917</v>
      </c>
      <c r="B105" s="2" t="s">
        <v>265</v>
      </c>
      <c r="C105" s="2">
        <v>39241</v>
      </c>
      <c r="D105" s="2" t="s">
        <v>19</v>
      </c>
      <c r="E105" s="2" t="s">
        <v>20</v>
      </c>
      <c r="F105" s="2" t="s">
        <v>263</v>
      </c>
      <c r="G105" s="2" t="s">
        <v>50</v>
      </c>
      <c r="H105" s="2" t="s">
        <v>56</v>
      </c>
      <c r="I105" s="2" t="s">
        <v>24</v>
      </c>
      <c r="J105" s="2" t="s">
        <v>51</v>
      </c>
      <c r="K105" s="2" t="s">
        <v>26</v>
      </c>
      <c r="L105" s="2" t="s">
        <v>25</v>
      </c>
      <c r="M105" s="2" t="s">
        <v>27</v>
      </c>
      <c r="N105" s="2" t="s">
        <v>28</v>
      </c>
      <c r="O105" s="2" t="s">
        <v>29</v>
      </c>
      <c r="P105" s="2" t="s">
        <v>35</v>
      </c>
      <c r="Q105" s="2" t="s">
        <v>30</v>
      </c>
      <c r="R105" s="2" t="s">
        <v>31</v>
      </c>
    </row>
    <row r="106" spans="1:18" ht="22.5" customHeight="1" x14ac:dyDescent="0.25">
      <c r="A106" s="3">
        <v>46182.485401782411</v>
      </c>
      <c r="B106" s="2" t="s">
        <v>266</v>
      </c>
      <c r="C106" s="2">
        <v>36060</v>
      </c>
      <c r="D106" s="2" t="s">
        <v>19</v>
      </c>
      <c r="E106" s="2" t="s">
        <v>20</v>
      </c>
      <c r="F106" s="2" t="s">
        <v>263</v>
      </c>
      <c r="G106" s="2" t="s">
        <v>33</v>
      </c>
      <c r="H106" s="2" t="s">
        <v>56</v>
      </c>
      <c r="I106" s="2" t="s">
        <v>46</v>
      </c>
      <c r="J106" s="2" t="s">
        <v>25</v>
      </c>
      <c r="K106" s="2" t="s">
        <v>26</v>
      </c>
      <c r="L106" s="2" t="s">
        <v>25</v>
      </c>
      <c r="M106" s="2" t="s">
        <v>71</v>
      </c>
      <c r="N106" s="2" t="s">
        <v>131</v>
      </c>
      <c r="O106" s="2" t="s">
        <v>29</v>
      </c>
      <c r="P106" s="2" t="s">
        <v>59</v>
      </c>
      <c r="Q106" s="2" t="s">
        <v>43</v>
      </c>
      <c r="R106" s="2" t="s">
        <v>118</v>
      </c>
    </row>
    <row r="107" spans="1:18" ht="22.5" customHeight="1" x14ac:dyDescent="0.25">
      <c r="A107" s="3">
        <v>46182.486243807871</v>
      </c>
      <c r="B107" s="2" t="s">
        <v>267</v>
      </c>
      <c r="C107" s="2">
        <v>48387</v>
      </c>
      <c r="D107" s="2" t="s">
        <v>19</v>
      </c>
      <c r="E107" s="2" t="s">
        <v>20</v>
      </c>
      <c r="F107" s="2" t="s">
        <v>263</v>
      </c>
      <c r="G107" s="2" t="s">
        <v>22</v>
      </c>
      <c r="H107" s="2" t="s">
        <v>23</v>
      </c>
      <c r="I107" s="2" t="s">
        <v>24</v>
      </c>
      <c r="J107" s="2" t="s">
        <v>51</v>
      </c>
      <c r="K107" s="2" t="s">
        <v>26</v>
      </c>
      <c r="L107" s="2" t="s">
        <v>25</v>
      </c>
      <c r="M107" s="2" t="s">
        <v>71</v>
      </c>
      <c r="N107" s="2" t="s">
        <v>41</v>
      </c>
      <c r="O107" s="2" t="s">
        <v>29</v>
      </c>
      <c r="P107" s="2" t="s">
        <v>35</v>
      </c>
      <c r="Q107" s="2" t="s">
        <v>94</v>
      </c>
      <c r="R107" s="2" t="s">
        <v>86</v>
      </c>
    </row>
    <row r="108" spans="1:18" ht="22.5" customHeight="1" x14ac:dyDescent="0.25">
      <c r="A108" s="3">
        <v>46182.486329340274</v>
      </c>
      <c r="B108" s="2" t="s">
        <v>268</v>
      </c>
      <c r="C108" s="2">
        <v>46601</v>
      </c>
      <c r="D108" s="2" t="s">
        <v>19</v>
      </c>
      <c r="E108" s="2" t="s">
        <v>20</v>
      </c>
      <c r="F108" s="2" t="s">
        <v>263</v>
      </c>
      <c r="G108" s="2" t="s">
        <v>22</v>
      </c>
      <c r="H108" s="2" t="s">
        <v>70</v>
      </c>
      <c r="I108" s="2" t="s">
        <v>147</v>
      </c>
      <c r="J108" s="2" t="s">
        <v>25</v>
      </c>
      <c r="K108" s="2" t="s">
        <v>26</v>
      </c>
      <c r="L108" s="2" t="s">
        <v>25</v>
      </c>
      <c r="M108" s="2" t="s">
        <v>64</v>
      </c>
      <c r="N108" s="2" t="s">
        <v>28</v>
      </c>
      <c r="O108" s="2" t="s">
        <v>29</v>
      </c>
      <c r="P108" s="2" t="s">
        <v>59</v>
      </c>
      <c r="Q108" s="2" t="s">
        <v>136</v>
      </c>
      <c r="R108" s="2" t="s">
        <v>53</v>
      </c>
    </row>
    <row r="109" spans="1:18" ht="22.5" customHeight="1" x14ac:dyDescent="0.25">
      <c r="A109" s="3">
        <v>46182.486692592589</v>
      </c>
      <c r="B109" s="2" t="s">
        <v>269</v>
      </c>
      <c r="C109" s="2">
        <v>48374</v>
      </c>
      <c r="D109" s="2" t="s">
        <v>19</v>
      </c>
      <c r="E109" s="2" t="s">
        <v>20</v>
      </c>
      <c r="F109" s="2" t="s">
        <v>263</v>
      </c>
      <c r="G109" s="2" t="s">
        <v>22</v>
      </c>
      <c r="H109" s="2" t="s">
        <v>56</v>
      </c>
      <c r="I109" s="2" t="s">
        <v>24</v>
      </c>
      <c r="J109" s="2" t="s">
        <v>51</v>
      </c>
      <c r="K109" s="2" t="s">
        <v>26</v>
      </c>
      <c r="L109" s="2" t="s">
        <v>39</v>
      </c>
      <c r="M109" s="2" t="s">
        <v>64</v>
      </c>
      <c r="N109" s="2" t="s">
        <v>131</v>
      </c>
      <c r="O109" s="2" t="s">
        <v>58</v>
      </c>
      <c r="P109" s="2" t="s">
        <v>59</v>
      </c>
      <c r="Q109" s="2" t="s">
        <v>68</v>
      </c>
      <c r="R109" s="2" t="s">
        <v>86</v>
      </c>
    </row>
    <row r="110" spans="1:18" ht="22.5" customHeight="1" x14ac:dyDescent="0.25">
      <c r="A110" s="3">
        <v>46182.488195335653</v>
      </c>
      <c r="B110" s="2" t="s">
        <v>270</v>
      </c>
      <c r="C110" s="2">
        <v>45763</v>
      </c>
      <c r="D110" s="2" t="s">
        <v>19</v>
      </c>
      <c r="E110" s="2" t="s">
        <v>20</v>
      </c>
      <c r="F110" s="2" t="s">
        <v>263</v>
      </c>
      <c r="G110" s="2" t="s">
        <v>228</v>
      </c>
      <c r="H110" s="2" t="s">
        <v>23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27</v>
      </c>
      <c r="N110" s="2" t="s">
        <v>131</v>
      </c>
      <c r="O110" s="2" t="s">
        <v>29</v>
      </c>
      <c r="P110" s="2" t="s">
        <v>25</v>
      </c>
      <c r="Q110" s="2" t="s">
        <v>36</v>
      </c>
      <c r="R110" s="2" t="s">
        <v>31</v>
      </c>
    </row>
    <row r="111" spans="1:18" ht="22.5" customHeight="1" x14ac:dyDescent="0.25">
      <c r="A111" s="3">
        <v>46182.490207974537</v>
      </c>
      <c r="B111" s="2" t="s">
        <v>271</v>
      </c>
      <c r="C111" s="2">
        <v>35878</v>
      </c>
      <c r="D111" s="2" t="s">
        <v>19</v>
      </c>
      <c r="E111" s="2" t="s">
        <v>20</v>
      </c>
      <c r="F111" s="2" t="s">
        <v>263</v>
      </c>
      <c r="G111" s="2" t="s">
        <v>228</v>
      </c>
      <c r="H111" s="2" t="s">
        <v>56</v>
      </c>
      <c r="I111" s="2" t="s">
        <v>253</v>
      </c>
      <c r="J111" s="2" t="s">
        <v>25</v>
      </c>
      <c r="K111" s="2" t="s">
        <v>25</v>
      </c>
      <c r="L111" s="2" t="s">
        <v>25</v>
      </c>
      <c r="M111" s="2" t="s">
        <v>64</v>
      </c>
      <c r="N111" s="2" t="s">
        <v>28</v>
      </c>
      <c r="O111" s="2" t="s">
        <v>105</v>
      </c>
      <c r="P111" s="2" t="s">
        <v>59</v>
      </c>
      <c r="Q111" s="2" t="s">
        <v>100</v>
      </c>
      <c r="R111" s="2" t="s">
        <v>75</v>
      </c>
    </row>
    <row r="112" spans="1:18" ht="22.5" customHeight="1" x14ac:dyDescent="0.25">
      <c r="A112" s="3">
        <v>46182.490954814813</v>
      </c>
      <c r="B112" s="2" t="s">
        <v>272</v>
      </c>
      <c r="C112" s="2">
        <v>35355</v>
      </c>
      <c r="D112" s="2" t="s">
        <v>19</v>
      </c>
      <c r="E112" s="2" t="s">
        <v>20</v>
      </c>
      <c r="F112" s="2" t="s">
        <v>263</v>
      </c>
      <c r="G112" s="2" t="s">
        <v>22</v>
      </c>
      <c r="H112" s="2" t="s">
        <v>56</v>
      </c>
      <c r="I112" s="2" t="s">
        <v>57</v>
      </c>
      <c r="J112" s="2" t="s">
        <v>51</v>
      </c>
      <c r="K112" s="2" t="s">
        <v>26</v>
      </c>
      <c r="L112" s="2" t="s">
        <v>25</v>
      </c>
      <c r="M112" s="2" t="s">
        <v>74</v>
      </c>
      <c r="N112" s="2" t="s">
        <v>28</v>
      </c>
      <c r="O112" s="2" t="s">
        <v>42</v>
      </c>
      <c r="P112" s="2" t="s">
        <v>35</v>
      </c>
      <c r="Q112" s="2" t="s">
        <v>81</v>
      </c>
      <c r="R112" s="2" t="s">
        <v>145</v>
      </c>
    </row>
    <row r="113" spans="1:18" ht="22.5" customHeight="1" x14ac:dyDescent="0.25">
      <c r="A113" s="3">
        <v>46182.491502280092</v>
      </c>
      <c r="B113" s="2" t="s">
        <v>273</v>
      </c>
      <c r="C113" s="2">
        <v>45861</v>
      </c>
      <c r="D113" s="2" t="s">
        <v>19</v>
      </c>
      <c r="E113" s="2" t="s">
        <v>20</v>
      </c>
      <c r="F113" s="2" t="s">
        <v>263</v>
      </c>
      <c r="G113" s="2" t="s">
        <v>22</v>
      </c>
      <c r="H113" s="2" t="s">
        <v>56</v>
      </c>
      <c r="I113" s="2" t="s">
        <v>57</v>
      </c>
      <c r="J113" s="2" t="s">
        <v>51</v>
      </c>
      <c r="K113" s="2" t="s">
        <v>26</v>
      </c>
      <c r="L113" s="2" t="s">
        <v>25</v>
      </c>
      <c r="M113" s="2" t="s">
        <v>64</v>
      </c>
      <c r="N113" s="2" t="s">
        <v>41</v>
      </c>
      <c r="O113" s="2" t="s">
        <v>29</v>
      </c>
      <c r="P113" s="2" t="s">
        <v>25</v>
      </c>
      <c r="Q113" s="2" t="s">
        <v>43</v>
      </c>
      <c r="R113" s="2" t="s">
        <v>31</v>
      </c>
    </row>
    <row r="114" spans="1:18" ht="22.5" customHeight="1" x14ac:dyDescent="0.25">
      <c r="A114" s="3">
        <v>46182.491650995369</v>
      </c>
      <c r="B114" s="2" t="s">
        <v>274</v>
      </c>
      <c r="C114" s="2">
        <v>48510</v>
      </c>
      <c r="D114" s="2" t="s">
        <v>19</v>
      </c>
      <c r="E114" s="2" t="s">
        <v>20</v>
      </c>
      <c r="F114" s="2" t="s">
        <v>263</v>
      </c>
      <c r="G114" s="2" t="s">
        <v>22</v>
      </c>
      <c r="H114" s="2" t="s">
        <v>56</v>
      </c>
      <c r="I114" s="2" t="s">
        <v>24</v>
      </c>
      <c r="J114" s="2" t="s">
        <v>51</v>
      </c>
      <c r="K114" s="2" t="s">
        <v>26</v>
      </c>
      <c r="L114" s="2" t="s">
        <v>39</v>
      </c>
      <c r="M114" s="2" t="s">
        <v>64</v>
      </c>
      <c r="N114" s="2" t="s">
        <v>28</v>
      </c>
      <c r="O114" s="2" t="s">
        <v>29</v>
      </c>
      <c r="P114" s="2" t="s">
        <v>114</v>
      </c>
      <c r="Q114" s="2" t="s">
        <v>133</v>
      </c>
      <c r="R114" s="2" t="s">
        <v>44</v>
      </c>
    </row>
    <row r="115" spans="1:18" ht="22.5" customHeight="1" x14ac:dyDescent="0.25">
      <c r="A115" s="3">
        <v>46182.492021076388</v>
      </c>
      <c r="B115" s="2" t="s">
        <v>275</v>
      </c>
      <c r="C115" s="2">
        <v>39775</v>
      </c>
      <c r="D115" s="2" t="s">
        <v>19</v>
      </c>
      <c r="E115" s="2" t="s">
        <v>20</v>
      </c>
      <c r="F115" s="2" t="s">
        <v>263</v>
      </c>
      <c r="G115" s="2" t="s">
        <v>22</v>
      </c>
      <c r="H115" s="2" t="s">
        <v>70</v>
      </c>
      <c r="I115" s="2" t="s">
        <v>57</v>
      </c>
      <c r="J115" s="2" t="s">
        <v>25</v>
      </c>
      <c r="K115" s="2" t="s">
        <v>112</v>
      </c>
      <c r="L115" s="2" t="s">
        <v>25</v>
      </c>
      <c r="M115" s="2" t="s">
        <v>71</v>
      </c>
      <c r="N115" s="2" t="s">
        <v>28</v>
      </c>
      <c r="O115" s="2" t="s">
        <v>105</v>
      </c>
      <c r="P115" s="2" t="s">
        <v>59</v>
      </c>
      <c r="Q115" s="2" t="s">
        <v>136</v>
      </c>
      <c r="R115" s="2" t="s">
        <v>118</v>
      </c>
    </row>
    <row r="116" spans="1:18" ht="22.5" customHeight="1" x14ac:dyDescent="0.25">
      <c r="A116" s="3">
        <v>46182.492410914347</v>
      </c>
      <c r="B116" s="2" t="s">
        <v>276</v>
      </c>
      <c r="C116" s="2">
        <v>44129</v>
      </c>
      <c r="D116" s="2" t="s">
        <v>19</v>
      </c>
      <c r="E116" s="2" t="s">
        <v>20</v>
      </c>
      <c r="F116" s="2" t="s">
        <v>263</v>
      </c>
      <c r="G116" s="2" t="s">
        <v>22</v>
      </c>
      <c r="H116" s="2" t="s">
        <v>23</v>
      </c>
      <c r="I116" s="2" t="s">
        <v>24</v>
      </c>
      <c r="J116" s="2" t="s">
        <v>25</v>
      </c>
      <c r="K116" s="2" t="s">
        <v>26</v>
      </c>
      <c r="L116" s="2" t="s">
        <v>25</v>
      </c>
      <c r="M116" s="2" t="s">
        <v>27</v>
      </c>
      <c r="N116" s="2" t="s">
        <v>148</v>
      </c>
      <c r="O116" s="2" t="s">
        <v>29</v>
      </c>
      <c r="P116" s="2" t="s">
        <v>25</v>
      </c>
      <c r="Q116" s="2" t="s">
        <v>128</v>
      </c>
      <c r="R116" s="2" t="s">
        <v>118</v>
      </c>
    </row>
    <row r="117" spans="1:18" ht="22.5" customHeight="1" x14ac:dyDescent="0.25">
      <c r="A117" s="3">
        <v>46182.502162812496</v>
      </c>
      <c r="B117" s="2" t="s">
        <v>277</v>
      </c>
      <c r="C117" s="2">
        <v>43367</v>
      </c>
      <c r="D117" s="2" t="s">
        <v>19</v>
      </c>
      <c r="E117" s="2" t="s">
        <v>20</v>
      </c>
      <c r="F117" s="2" t="s">
        <v>263</v>
      </c>
      <c r="G117" s="2" t="s">
        <v>22</v>
      </c>
      <c r="H117" s="2" t="s">
        <v>56</v>
      </c>
      <c r="I117" s="2" t="s">
        <v>46</v>
      </c>
      <c r="J117" s="2" t="s">
        <v>51</v>
      </c>
      <c r="K117" s="2" t="s">
        <v>26</v>
      </c>
      <c r="L117" s="2" t="s">
        <v>25</v>
      </c>
      <c r="M117" s="2" t="s">
        <v>74</v>
      </c>
      <c r="N117" s="2" t="s">
        <v>278</v>
      </c>
      <c r="O117" s="2" t="s">
        <v>42</v>
      </c>
      <c r="P117" s="2" t="s">
        <v>25</v>
      </c>
      <c r="Q117" s="2" t="s">
        <v>220</v>
      </c>
      <c r="R117" s="2" t="s">
        <v>86</v>
      </c>
    </row>
    <row r="118" spans="1:18" ht="22.5" customHeight="1" x14ac:dyDescent="0.25">
      <c r="A118" s="3">
        <v>46182.502498773145</v>
      </c>
      <c r="B118" s="2" t="s">
        <v>279</v>
      </c>
      <c r="C118" s="2">
        <v>48730</v>
      </c>
      <c r="D118" s="2" t="s">
        <v>19</v>
      </c>
      <c r="E118" s="2" t="s">
        <v>20</v>
      </c>
      <c r="F118" s="2" t="s">
        <v>263</v>
      </c>
      <c r="G118" s="2" t="s">
        <v>22</v>
      </c>
      <c r="H118" s="2" t="s">
        <v>56</v>
      </c>
      <c r="I118" s="2" t="s">
        <v>24</v>
      </c>
      <c r="J118" s="2" t="s">
        <v>25</v>
      </c>
      <c r="K118" s="2" t="s">
        <v>26</v>
      </c>
      <c r="L118" s="2" t="s">
        <v>39</v>
      </c>
      <c r="M118" s="2" t="s">
        <v>280</v>
      </c>
      <c r="N118" s="2" t="s">
        <v>28</v>
      </c>
      <c r="O118" s="2" t="s">
        <v>42</v>
      </c>
      <c r="P118" s="2" t="s">
        <v>25</v>
      </c>
      <c r="Q118" s="2" t="s">
        <v>94</v>
      </c>
      <c r="R118" s="2" t="s">
        <v>281</v>
      </c>
    </row>
    <row r="119" spans="1:18" ht="22.5" customHeight="1" x14ac:dyDescent="0.25">
      <c r="A119" s="3">
        <v>46182.511894664349</v>
      </c>
      <c r="B119" s="2" t="s">
        <v>282</v>
      </c>
      <c r="C119" s="2">
        <v>38786</v>
      </c>
      <c r="D119" s="2" t="s">
        <v>19</v>
      </c>
      <c r="E119" s="2" t="s">
        <v>20</v>
      </c>
      <c r="F119" s="2" t="s">
        <v>263</v>
      </c>
      <c r="G119" s="2" t="s">
        <v>22</v>
      </c>
      <c r="H119" s="2" t="s">
        <v>56</v>
      </c>
      <c r="I119" s="2" t="s">
        <v>147</v>
      </c>
      <c r="J119" s="2" t="s">
        <v>25</v>
      </c>
      <c r="K119" s="2" t="s">
        <v>26</v>
      </c>
      <c r="L119" s="2" t="s">
        <v>39</v>
      </c>
      <c r="M119" s="2" t="s">
        <v>71</v>
      </c>
      <c r="N119" s="2" t="s">
        <v>52</v>
      </c>
      <c r="O119" s="2" t="s">
        <v>42</v>
      </c>
      <c r="P119" s="2" t="s">
        <v>25</v>
      </c>
      <c r="Q119" s="2" t="s">
        <v>283</v>
      </c>
      <c r="R119" s="2" t="s">
        <v>53</v>
      </c>
    </row>
    <row r="120" spans="1:18" ht="22.5" customHeight="1" x14ac:dyDescent="0.25">
      <c r="A120" s="3">
        <v>46182.516805983796</v>
      </c>
      <c r="B120" s="2" t="s">
        <v>284</v>
      </c>
      <c r="C120" s="2">
        <v>39178</v>
      </c>
      <c r="D120" s="2" t="s">
        <v>19</v>
      </c>
      <c r="E120" s="2" t="s">
        <v>20</v>
      </c>
      <c r="F120" s="2" t="s">
        <v>263</v>
      </c>
      <c r="G120" s="2" t="s">
        <v>33</v>
      </c>
      <c r="H120" s="2" t="s">
        <v>23</v>
      </c>
      <c r="I120" s="2" t="s">
        <v>46</v>
      </c>
      <c r="J120" s="2" t="s">
        <v>51</v>
      </c>
      <c r="K120" s="2" t="s">
        <v>26</v>
      </c>
      <c r="L120" s="2" t="s">
        <v>39</v>
      </c>
      <c r="M120" s="2" t="s">
        <v>285</v>
      </c>
      <c r="N120" s="2" t="s">
        <v>41</v>
      </c>
      <c r="O120" s="2" t="s">
        <v>42</v>
      </c>
      <c r="P120" s="2" t="s">
        <v>25</v>
      </c>
      <c r="Q120" s="2" t="s">
        <v>100</v>
      </c>
      <c r="R120" s="2" t="s">
        <v>31</v>
      </c>
    </row>
    <row r="121" spans="1:18" ht="22.5" customHeight="1" x14ac:dyDescent="0.25">
      <c r="A121" s="3">
        <v>46182.521188530096</v>
      </c>
      <c r="B121" s="2" t="s">
        <v>286</v>
      </c>
      <c r="C121" s="2">
        <v>49358</v>
      </c>
      <c r="D121" s="2" t="s">
        <v>19</v>
      </c>
      <c r="E121" s="2" t="s">
        <v>20</v>
      </c>
      <c r="F121" s="2" t="s">
        <v>263</v>
      </c>
      <c r="G121" s="2" t="s">
        <v>22</v>
      </c>
      <c r="H121" s="2" t="s">
        <v>56</v>
      </c>
      <c r="I121" s="2" t="s">
        <v>57</v>
      </c>
      <c r="J121" s="2" t="s">
        <v>25</v>
      </c>
      <c r="K121" s="2" t="s">
        <v>25</v>
      </c>
      <c r="L121" s="2" t="s">
        <v>63</v>
      </c>
      <c r="M121" s="2" t="s">
        <v>64</v>
      </c>
      <c r="N121" s="2" t="s">
        <v>28</v>
      </c>
      <c r="O121" s="2" t="s">
        <v>105</v>
      </c>
      <c r="P121" s="2" t="s">
        <v>25</v>
      </c>
      <c r="Q121" s="2" t="s">
        <v>68</v>
      </c>
      <c r="R121" s="2" t="s">
        <v>86</v>
      </c>
    </row>
    <row r="122" spans="1:18" ht="22.5" customHeight="1" x14ac:dyDescent="0.25">
      <c r="A122" s="3">
        <v>46182.525088124996</v>
      </c>
      <c r="B122" s="2" t="s">
        <v>287</v>
      </c>
      <c r="C122" s="2">
        <v>39744</v>
      </c>
      <c r="D122" s="2" t="s">
        <v>19</v>
      </c>
      <c r="E122" s="2" t="s">
        <v>20</v>
      </c>
      <c r="F122" s="2" t="s">
        <v>263</v>
      </c>
      <c r="G122" s="2" t="s">
        <v>62</v>
      </c>
      <c r="H122" s="2" t="s">
        <v>56</v>
      </c>
      <c r="I122" s="2" t="s">
        <v>57</v>
      </c>
      <c r="J122" s="2" t="s">
        <v>25</v>
      </c>
      <c r="K122" s="2" t="s">
        <v>26</v>
      </c>
      <c r="L122" s="2" t="s">
        <v>25</v>
      </c>
      <c r="M122" s="2" t="s">
        <v>64</v>
      </c>
      <c r="N122" s="2" t="s">
        <v>148</v>
      </c>
      <c r="O122" s="2" t="s">
        <v>29</v>
      </c>
      <c r="P122" s="2" t="s">
        <v>25</v>
      </c>
      <c r="Q122" s="2" t="s">
        <v>162</v>
      </c>
      <c r="R122" s="2" t="s">
        <v>198</v>
      </c>
    </row>
    <row r="123" spans="1:18" ht="22.5" customHeight="1" x14ac:dyDescent="0.25">
      <c r="A123" s="3">
        <v>46182.532494328705</v>
      </c>
      <c r="B123" s="2" t="s">
        <v>288</v>
      </c>
      <c r="C123" s="2">
        <v>38265</v>
      </c>
      <c r="D123" s="2" t="s">
        <v>19</v>
      </c>
      <c r="E123" s="2" t="s">
        <v>20</v>
      </c>
      <c r="F123" s="2" t="s">
        <v>263</v>
      </c>
      <c r="G123" s="2" t="s">
        <v>22</v>
      </c>
      <c r="H123" s="2" t="s">
        <v>56</v>
      </c>
      <c r="I123" s="2" t="s">
        <v>57</v>
      </c>
      <c r="J123" s="2" t="s">
        <v>25</v>
      </c>
      <c r="K123" s="2" t="s">
        <v>25</v>
      </c>
      <c r="L123" s="2" t="s">
        <v>25</v>
      </c>
      <c r="M123" s="2" t="s">
        <v>64</v>
      </c>
      <c r="N123" s="2" t="s">
        <v>28</v>
      </c>
      <c r="O123" s="2" t="s">
        <v>29</v>
      </c>
      <c r="P123" s="2" t="s">
        <v>25</v>
      </c>
      <c r="Q123" s="2" t="s">
        <v>289</v>
      </c>
      <c r="R123" s="2" t="s">
        <v>31</v>
      </c>
    </row>
    <row r="124" spans="1:18" ht="22.5" customHeight="1" x14ac:dyDescent="0.25">
      <c r="A124" s="3">
        <v>46182.548787037042</v>
      </c>
      <c r="B124" s="2" t="s">
        <v>290</v>
      </c>
      <c r="C124" s="2">
        <v>42820</v>
      </c>
      <c r="D124" s="2" t="s">
        <v>19</v>
      </c>
      <c r="E124" s="2" t="s">
        <v>20</v>
      </c>
      <c r="F124" s="2" t="s">
        <v>263</v>
      </c>
      <c r="G124" s="2" t="s">
        <v>22</v>
      </c>
      <c r="H124" s="2" t="s">
        <v>56</v>
      </c>
      <c r="I124" s="2" t="s">
        <v>57</v>
      </c>
      <c r="J124" s="2" t="s">
        <v>25</v>
      </c>
      <c r="K124" s="2" t="s">
        <v>26</v>
      </c>
      <c r="L124" s="2" t="s">
        <v>25</v>
      </c>
      <c r="M124" s="2" t="s">
        <v>71</v>
      </c>
      <c r="N124" s="2" t="s">
        <v>28</v>
      </c>
      <c r="O124" s="2" t="s">
        <v>29</v>
      </c>
      <c r="P124" s="2" t="s">
        <v>25</v>
      </c>
      <c r="Q124" s="2" t="s">
        <v>128</v>
      </c>
      <c r="R124" s="2" t="s">
        <v>86</v>
      </c>
    </row>
    <row r="125" spans="1:18" ht="22.5" customHeight="1" x14ac:dyDescent="0.25">
      <c r="A125" s="3">
        <v>46182.550880023147</v>
      </c>
      <c r="B125" s="2" t="s">
        <v>291</v>
      </c>
      <c r="C125" s="2">
        <v>44073</v>
      </c>
      <c r="D125" s="2" t="s">
        <v>19</v>
      </c>
      <c r="E125" s="2" t="s">
        <v>20</v>
      </c>
      <c r="F125" s="2" t="s">
        <v>263</v>
      </c>
      <c r="G125" s="2" t="s">
        <v>22</v>
      </c>
      <c r="H125" s="2" t="s">
        <v>70</v>
      </c>
      <c r="I125" s="2" t="s">
        <v>57</v>
      </c>
      <c r="J125" s="2" t="s">
        <v>25</v>
      </c>
      <c r="K125" s="2" t="s">
        <v>25</v>
      </c>
      <c r="L125" s="2" t="s">
        <v>25</v>
      </c>
      <c r="M125" s="2" t="s">
        <v>27</v>
      </c>
      <c r="N125" s="2" t="s">
        <v>52</v>
      </c>
      <c r="O125" s="2" t="s">
        <v>29</v>
      </c>
      <c r="P125" s="2" t="s">
        <v>25</v>
      </c>
      <c r="Q125" s="2" t="s">
        <v>30</v>
      </c>
      <c r="R125" s="2" t="s">
        <v>198</v>
      </c>
    </row>
    <row r="126" spans="1:18" ht="22.5" customHeight="1" x14ac:dyDescent="0.25">
      <c r="A126" s="3">
        <v>46182.609854988426</v>
      </c>
      <c r="B126" s="2" t="s">
        <v>292</v>
      </c>
      <c r="C126" s="2">
        <v>39141</v>
      </c>
      <c r="D126" s="2" t="s">
        <v>19</v>
      </c>
      <c r="E126" s="2" t="s">
        <v>20</v>
      </c>
      <c r="F126" s="2" t="s">
        <v>263</v>
      </c>
      <c r="G126" s="2" t="s">
        <v>33</v>
      </c>
      <c r="H126" s="2" t="s">
        <v>23</v>
      </c>
      <c r="I126" s="2" t="s">
        <v>24</v>
      </c>
      <c r="J126" s="2" t="s">
        <v>25</v>
      </c>
      <c r="K126" s="2" t="s">
        <v>26</v>
      </c>
      <c r="L126" s="2" t="s">
        <v>25</v>
      </c>
      <c r="M126" s="2" t="s">
        <v>64</v>
      </c>
      <c r="N126" s="2" t="s">
        <v>135</v>
      </c>
      <c r="O126" s="2" t="s">
        <v>105</v>
      </c>
      <c r="P126" s="2" t="s">
        <v>59</v>
      </c>
      <c r="Q126" s="2" t="s">
        <v>68</v>
      </c>
      <c r="R126" s="2" t="s">
        <v>293</v>
      </c>
    </row>
    <row r="127" spans="1:18" ht="22.5" customHeight="1" x14ac:dyDescent="0.25">
      <c r="A127" s="3">
        <v>46182.694855983791</v>
      </c>
      <c r="B127" s="2" t="s">
        <v>294</v>
      </c>
      <c r="C127" s="2">
        <v>42104</v>
      </c>
      <c r="D127" s="2" t="s">
        <v>19</v>
      </c>
      <c r="E127" s="2" t="s">
        <v>20</v>
      </c>
      <c r="F127" s="2" t="s">
        <v>263</v>
      </c>
      <c r="G127" s="2" t="s">
        <v>33</v>
      </c>
      <c r="H127" s="2" t="s">
        <v>56</v>
      </c>
      <c r="I127" s="2" t="s">
        <v>46</v>
      </c>
      <c r="J127" s="2" t="s">
        <v>25</v>
      </c>
      <c r="K127" s="2" t="s">
        <v>26</v>
      </c>
      <c r="L127" s="2" t="s">
        <v>25</v>
      </c>
      <c r="M127" s="2" t="s">
        <v>27</v>
      </c>
      <c r="N127" s="2" t="s">
        <v>52</v>
      </c>
      <c r="O127" s="2" t="s">
        <v>42</v>
      </c>
      <c r="P127" s="2" t="s">
        <v>35</v>
      </c>
      <c r="Q127" s="2" t="s">
        <v>43</v>
      </c>
      <c r="R127" s="2" t="s">
        <v>145</v>
      </c>
    </row>
    <row r="128" spans="1:18" ht="22.5" customHeight="1" x14ac:dyDescent="0.25">
      <c r="A128" s="3">
        <v>46183.492812314813</v>
      </c>
      <c r="B128" s="2" t="s">
        <v>295</v>
      </c>
      <c r="C128" s="2">
        <v>45419</v>
      </c>
      <c r="D128" s="2" t="s">
        <v>19</v>
      </c>
      <c r="E128" s="2" t="s">
        <v>296</v>
      </c>
      <c r="F128" s="2" t="s">
        <v>297</v>
      </c>
      <c r="G128" s="2" t="s">
        <v>22</v>
      </c>
      <c r="H128" s="2" t="s">
        <v>56</v>
      </c>
      <c r="I128" s="2" t="s">
        <v>57</v>
      </c>
      <c r="J128" s="2" t="s">
        <v>25</v>
      </c>
      <c r="K128" s="2" t="s">
        <v>26</v>
      </c>
      <c r="L128" s="2" t="s">
        <v>39</v>
      </c>
      <c r="M128" s="2" t="s">
        <v>64</v>
      </c>
      <c r="N128" s="2" t="s">
        <v>135</v>
      </c>
      <c r="O128" s="2" t="s">
        <v>29</v>
      </c>
      <c r="P128" s="2" t="s">
        <v>25</v>
      </c>
      <c r="Q128" s="2" t="s">
        <v>298</v>
      </c>
      <c r="R128" s="2" t="s">
        <v>78</v>
      </c>
    </row>
    <row r="129" spans="1:18" ht="22.5" customHeight="1" x14ac:dyDescent="0.25">
      <c r="A129" s="3">
        <v>46183.492847754635</v>
      </c>
      <c r="B129" s="2" t="s">
        <v>299</v>
      </c>
      <c r="C129" s="2">
        <v>42509</v>
      </c>
      <c r="D129" s="2" t="s">
        <v>19</v>
      </c>
      <c r="E129" s="2" t="s">
        <v>296</v>
      </c>
      <c r="F129" s="2" t="s">
        <v>297</v>
      </c>
      <c r="G129" s="2" t="s">
        <v>33</v>
      </c>
      <c r="H129" s="2" t="s">
        <v>56</v>
      </c>
      <c r="I129" s="2" t="s">
        <v>57</v>
      </c>
      <c r="J129" s="2" t="s">
        <v>25</v>
      </c>
      <c r="K129" s="2" t="s">
        <v>26</v>
      </c>
      <c r="L129" s="2" t="s">
        <v>25</v>
      </c>
      <c r="M129" s="2" t="s">
        <v>64</v>
      </c>
      <c r="N129" s="2" t="s">
        <v>41</v>
      </c>
      <c r="O129" s="2" t="s">
        <v>29</v>
      </c>
      <c r="P129" s="2" t="s">
        <v>25</v>
      </c>
      <c r="Q129" s="2" t="s">
        <v>128</v>
      </c>
      <c r="R129" s="2" t="s">
        <v>86</v>
      </c>
    </row>
    <row r="130" spans="1:18" ht="22.5" customHeight="1" x14ac:dyDescent="0.25">
      <c r="A130" s="3">
        <v>46183.493614525461</v>
      </c>
      <c r="B130" s="2" t="s">
        <v>300</v>
      </c>
      <c r="C130" s="2">
        <v>48644</v>
      </c>
      <c r="D130" s="2" t="s">
        <v>19</v>
      </c>
      <c r="E130" s="2" t="s">
        <v>296</v>
      </c>
      <c r="F130" s="2" t="s">
        <v>297</v>
      </c>
      <c r="G130" s="2" t="s">
        <v>22</v>
      </c>
      <c r="H130" s="2" t="s">
        <v>56</v>
      </c>
      <c r="I130" s="2" t="s">
        <v>57</v>
      </c>
      <c r="J130" s="2" t="s">
        <v>25</v>
      </c>
      <c r="K130" s="2" t="s">
        <v>26</v>
      </c>
      <c r="L130" s="2" t="s">
        <v>25</v>
      </c>
      <c r="M130" s="2" t="s">
        <v>71</v>
      </c>
      <c r="N130" s="2" t="s">
        <v>278</v>
      </c>
      <c r="O130" s="2" t="s">
        <v>105</v>
      </c>
      <c r="P130" s="2" t="s">
        <v>114</v>
      </c>
      <c r="Q130" s="2" t="s">
        <v>100</v>
      </c>
      <c r="R130" s="2" t="s">
        <v>95</v>
      </c>
    </row>
    <row r="131" spans="1:18" ht="22.5" customHeight="1" x14ac:dyDescent="0.25">
      <c r="A131" s="3">
        <v>46183.494230509255</v>
      </c>
      <c r="B131" s="2" t="s">
        <v>301</v>
      </c>
      <c r="C131" s="2">
        <v>45718</v>
      </c>
      <c r="D131" s="2" t="s">
        <v>19</v>
      </c>
      <c r="E131" s="2" t="s">
        <v>296</v>
      </c>
      <c r="F131" s="2" t="s">
        <v>297</v>
      </c>
      <c r="G131" s="2" t="s">
        <v>22</v>
      </c>
      <c r="H131" s="2" t="s">
        <v>23</v>
      </c>
      <c r="I131" s="2" t="s">
        <v>24</v>
      </c>
      <c r="J131" s="2" t="s">
        <v>51</v>
      </c>
      <c r="K131" s="2" t="s">
        <v>26</v>
      </c>
      <c r="L131" s="2" t="s">
        <v>39</v>
      </c>
      <c r="M131" s="2" t="s">
        <v>139</v>
      </c>
      <c r="N131" s="2" t="s">
        <v>28</v>
      </c>
      <c r="O131" s="2" t="s">
        <v>42</v>
      </c>
      <c r="P131" s="2" t="s">
        <v>35</v>
      </c>
      <c r="Q131" s="2" t="s">
        <v>133</v>
      </c>
      <c r="R131" s="2" t="s">
        <v>78</v>
      </c>
    </row>
    <row r="132" spans="1:18" ht="22.5" customHeight="1" x14ac:dyDescent="0.25">
      <c r="A132" s="3">
        <v>46183.494269178242</v>
      </c>
      <c r="B132" s="2" t="s">
        <v>302</v>
      </c>
      <c r="C132" s="2">
        <v>46345</v>
      </c>
      <c r="D132" s="2" t="s">
        <v>19</v>
      </c>
      <c r="E132" s="2" t="s">
        <v>296</v>
      </c>
      <c r="F132" s="2" t="s">
        <v>297</v>
      </c>
      <c r="G132" s="2" t="s">
        <v>33</v>
      </c>
      <c r="H132" s="2" t="s">
        <v>56</v>
      </c>
      <c r="I132" s="2" t="s">
        <v>24</v>
      </c>
      <c r="J132" s="2" t="s">
        <v>51</v>
      </c>
      <c r="K132" s="2" t="s">
        <v>26</v>
      </c>
      <c r="L132" s="2" t="s">
        <v>25</v>
      </c>
      <c r="M132" s="2" t="s">
        <v>27</v>
      </c>
      <c r="N132" s="2" t="s">
        <v>41</v>
      </c>
      <c r="O132" s="2" t="s">
        <v>42</v>
      </c>
      <c r="P132" s="2" t="s">
        <v>63</v>
      </c>
      <c r="Q132" s="2" t="s">
        <v>303</v>
      </c>
      <c r="R132" s="2" t="s">
        <v>304</v>
      </c>
    </row>
    <row r="133" spans="1:18" ht="22.5" customHeight="1" x14ac:dyDescent="0.25">
      <c r="A133" s="3">
        <v>46183.494674629634</v>
      </c>
      <c r="B133" s="2" t="s">
        <v>305</v>
      </c>
      <c r="C133" s="2">
        <v>48375</v>
      </c>
      <c r="D133" s="2" t="s">
        <v>19</v>
      </c>
      <c r="E133" s="2" t="s">
        <v>296</v>
      </c>
      <c r="F133" s="2" t="s">
        <v>297</v>
      </c>
      <c r="G133" s="2" t="s">
        <v>33</v>
      </c>
      <c r="H133" s="2" t="s">
        <v>23</v>
      </c>
      <c r="I133" s="2" t="s">
        <v>170</v>
      </c>
      <c r="J133" s="2" t="s">
        <v>51</v>
      </c>
      <c r="K133" s="2" t="s">
        <v>26</v>
      </c>
      <c r="L133" s="2" t="s">
        <v>39</v>
      </c>
      <c r="M133" s="2" t="s">
        <v>89</v>
      </c>
      <c r="N133" s="2" t="s">
        <v>113</v>
      </c>
      <c r="O133" s="2" t="s">
        <v>29</v>
      </c>
      <c r="P133" s="2" t="s">
        <v>25</v>
      </c>
      <c r="Q133" s="2" t="s">
        <v>220</v>
      </c>
      <c r="R133" s="2" t="s">
        <v>31</v>
      </c>
    </row>
    <row r="134" spans="1:18" ht="22.5" customHeight="1" x14ac:dyDescent="0.25">
      <c r="A134" s="3">
        <v>46183.494727847225</v>
      </c>
      <c r="B134" s="2" t="s">
        <v>306</v>
      </c>
      <c r="C134" s="2">
        <v>42028</v>
      </c>
      <c r="D134" s="2" t="s">
        <v>19</v>
      </c>
      <c r="E134" s="2" t="s">
        <v>296</v>
      </c>
      <c r="F134" s="2" t="s">
        <v>297</v>
      </c>
      <c r="G134" s="2" t="s">
        <v>50</v>
      </c>
      <c r="H134" s="2" t="s">
        <v>56</v>
      </c>
      <c r="I134" s="2" t="s">
        <v>24</v>
      </c>
      <c r="J134" s="2" t="s">
        <v>51</v>
      </c>
      <c r="K134" s="2" t="s">
        <v>26</v>
      </c>
      <c r="L134" s="2" t="s">
        <v>39</v>
      </c>
      <c r="M134" s="2" t="s">
        <v>64</v>
      </c>
      <c r="N134" s="2" t="s">
        <v>41</v>
      </c>
      <c r="O134" s="2" t="s">
        <v>42</v>
      </c>
      <c r="P134" s="2" t="s">
        <v>35</v>
      </c>
      <c r="Q134" s="2" t="s">
        <v>81</v>
      </c>
      <c r="R134" s="2" t="s">
        <v>257</v>
      </c>
    </row>
    <row r="135" spans="1:18" ht="22.5" customHeight="1" x14ac:dyDescent="0.25">
      <c r="A135" s="3">
        <v>46183.494798703701</v>
      </c>
      <c r="B135" s="2" t="s">
        <v>307</v>
      </c>
      <c r="C135" s="2">
        <v>45687</v>
      </c>
      <c r="D135" s="2" t="s">
        <v>19</v>
      </c>
      <c r="E135" s="2" t="s">
        <v>296</v>
      </c>
      <c r="F135" s="2" t="s">
        <v>297</v>
      </c>
      <c r="G135" s="2" t="s">
        <v>22</v>
      </c>
      <c r="H135" s="2" t="s">
        <v>23</v>
      </c>
      <c r="I135" s="2" t="s">
        <v>24</v>
      </c>
      <c r="J135" s="2" t="s">
        <v>25</v>
      </c>
      <c r="K135" s="2" t="s">
        <v>26</v>
      </c>
      <c r="L135" s="2" t="s">
        <v>25</v>
      </c>
      <c r="M135" s="2" t="s">
        <v>64</v>
      </c>
      <c r="N135" s="2" t="s">
        <v>41</v>
      </c>
      <c r="O135" s="2" t="s">
        <v>29</v>
      </c>
      <c r="P135" s="2" t="s">
        <v>25</v>
      </c>
      <c r="Q135" s="2" t="s">
        <v>30</v>
      </c>
      <c r="R135" s="2" t="s">
        <v>95</v>
      </c>
    </row>
    <row r="136" spans="1:18" ht="22.5" customHeight="1" x14ac:dyDescent="0.25">
      <c r="A136" s="3">
        <v>46183.495174432872</v>
      </c>
      <c r="B136" s="2" t="s">
        <v>308</v>
      </c>
      <c r="C136" s="2">
        <v>48563</v>
      </c>
      <c r="D136" s="2" t="s">
        <v>19</v>
      </c>
      <c r="E136" s="2" t="s">
        <v>296</v>
      </c>
      <c r="F136" s="2" t="s">
        <v>297</v>
      </c>
      <c r="G136" s="2" t="s">
        <v>22</v>
      </c>
      <c r="H136" s="2" t="s">
        <v>56</v>
      </c>
      <c r="I136" s="2" t="s">
        <v>57</v>
      </c>
      <c r="J136" s="2" t="s">
        <v>51</v>
      </c>
      <c r="K136" s="2" t="s">
        <v>26</v>
      </c>
      <c r="L136" s="2" t="s">
        <v>25</v>
      </c>
      <c r="M136" s="2" t="s">
        <v>74</v>
      </c>
      <c r="N136" s="2" t="s">
        <v>278</v>
      </c>
      <c r="O136" s="2" t="s">
        <v>29</v>
      </c>
      <c r="P136" s="2" t="s">
        <v>25</v>
      </c>
      <c r="Q136" s="2" t="s">
        <v>100</v>
      </c>
      <c r="R136" s="2" t="s">
        <v>198</v>
      </c>
    </row>
    <row r="137" spans="1:18" ht="22.5" customHeight="1" x14ac:dyDescent="0.25">
      <c r="A137" s="3">
        <v>46183.495698842591</v>
      </c>
      <c r="B137" s="2" t="s">
        <v>309</v>
      </c>
      <c r="C137" s="2">
        <v>45683</v>
      </c>
      <c r="D137" s="2" t="s">
        <v>19</v>
      </c>
      <c r="E137" s="2" t="s">
        <v>296</v>
      </c>
      <c r="F137" s="2" t="s">
        <v>297</v>
      </c>
      <c r="G137" s="2" t="s">
        <v>22</v>
      </c>
      <c r="H137" s="2" t="s">
        <v>23</v>
      </c>
      <c r="I137" s="2" t="s">
        <v>24</v>
      </c>
      <c r="J137" s="2" t="s">
        <v>25</v>
      </c>
      <c r="K137" s="2" t="s">
        <v>26</v>
      </c>
      <c r="L137" s="2" t="s">
        <v>39</v>
      </c>
      <c r="M137" s="2" t="s">
        <v>27</v>
      </c>
      <c r="N137" s="2" t="s">
        <v>148</v>
      </c>
      <c r="O137" s="2" t="s">
        <v>42</v>
      </c>
      <c r="P137" s="2" t="s">
        <v>25</v>
      </c>
      <c r="Q137" s="2" t="s">
        <v>220</v>
      </c>
      <c r="R137" s="2" t="s">
        <v>160</v>
      </c>
    </row>
    <row r="138" spans="1:18" ht="22.5" customHeight="1" x14ac:dyDescent="0.25">
      <c r="A138" s="3">
        <v>46183.496173043983</v>
      </c>
      <c r="B138" s="2" t="s">
        <v>310</v>
      </c>
      <c r="C138" s="2">
        <v>42512</v>
      </c>
      <c r="D138" s="2" t="s">
        <v>19</v>
      </c>
      <c r="E138" s="2" t="s">
        <v>296</v>
      </c>
      <c r="F138" s="2" t="s">
        <v>297</v>
      </c>
      <c r="G138" s="2" t="s">
        <v>33</v>
      </c>
      <c r="H138" s="2" t="s">
        <v>23</v>
      </c>
      <c r="I138" s="2" t="s">
        <v>24</v>
      </c>
      <c r="J138" s="2" t="s">
        <v>51</v>
      </c>
      <c r="K138" s="2" t="s">
        <v>26</v>
      </c>
      <c r="L138" s="2" t="s">
        <v>39</v>
      </c>
      <c r="M138" s="2" t="s">
        <v>64</v>
      </c>
      <c r="N138" s="2" t="s">
        <v>28</v>
      </c>
      <c r="O138" s="2" t="s">
        <v>93</v>
      </c>
      <c r="P138" s="2" t="s">
        <v>35</v>
      </c>
      <c r="Q138" s="2" t="s">
        <v>81</v>
      </c>
      <c r="R138" s="2" t="s">
        <v>44</v>
      </c>
    </row>
    <row r="139" spans="1:18" ht="22.5" customHeight="1" x14ac:dyDescent="0.25">
      <c r="A139" s="3">
        <v>46183.496395069444</v>
      </c>
      <c r="B139" s="2" t="s">
        <v>311</v>
      </c>
      <c r="C139" s="2">
        <v>42342</v>
      </c>
      <c r="D139" s="2" t="s">
        <v>19</v>
      </c>
      <c r="E139" s="2" t="s">
        <v>296</v>
      </c>
      <c r="F139" s="2" t="s">
        <v>297</v>
      </c>
      <c r="G139" s="2" t="s">
        <v>22</v>
      </c>
      <c r="H139" s="2" t="s">
        <v>56</v>
      </c>
      <c r="I139" s="2" t="s">
        <v>24</v>
      </c>
      <c r="J139" s="2" t="s">
        <v>25</v>
      </c>
      <c r="K139" s="2" t="s">
        <v>26</v>
      </c>
      <c r="L139" s="2" t="s">
        <v>25</v>
      </c>
      <c r="M139" s="2" t="s">
        <v>27</v>
      </c>
      <c r="N139" s="2" t="s">
        <v>28</v>
      </c>
      <c r="O139" s="2" t="s">
        <v>58</v>
      </c>
      <c r="P139" s="2" t="s">
        <v>59</v>
      </c>
      <c r="Q139" s="2" t="s">
        <v>222</v>
      </c>
      <c r="R139" s="2" t="s">
        <v>31</v>
      </c>
    </row>
    <row r="140" spans="1:18" ht="22.5" customHeight="1" x14ac:dyDescent="0.25">
      <c r="A140" s="3">
        <v>46183.496549189818</v>
      </c>
      <c r="B140" s="2" t="s">
        <v>312</v>
      </c>
      <c r="C140" s="2">
        <v>48898</v>
      </c>
      <c r="D140" s="2" t="s">
        <v>19</v>
      </c>
      <c r="E140" s="2" t="s">
        <v>296</v>
      </c>
      <c r="F140" s="2" t="s">
        <v>297</v>
      </c>
      <c r="G140" s="2" t="s">
        <v>22</v>
      </c>
      <c r="H140" s="2" t="s">
        <v>56</v>
      </c>
      <c r="I140" s="2" t="s">
        <v>24</v>
      </c>
      <c r="J140" s="2" t="s">
        <v>25</v>
      </c>
      <c r="K140" s="2" t="s">
        <v>26</v>
      </c>
      <c r="L140" s="2" t="s">
        <v>25</v>
      </c>
      <c r="M140" s="2" t="s">
        <v>313</v>
      </c>
      <c r="N140" s="2" t="s">
        <v>278</v>
      </c>
      <c r="O140" s="2" t="s">
        <v>29</v>
      </c>
      <c r="P140" s="2" t="s">
        <v>59</v>
      </c>
      <c r="Q140" s="2" t="s">
        <v>68</v>
      </c>
      <c r="R140" s="2" t="s">
        <v>75</v>
      </c>
    </row>
    <row r="141" spans="1:18" ht="22.5" customHeight="1" x14ac:dyDescent="0.25">
      <c r="A141" s="3">
        <v>46183.497431620373</v>
      </c>
      <c r="B141" s="2" t="s">
        <v>314</v>
      </c>
      <c r="C141" s="2">
        <v>45743</v>
      </c>
      <c r="D141" s="2" t="s">
        <v>19</v>
      </c>
      <c r="E141" s="2" t="s">
        <v>296</v>
      </c>
      <c r="F141" s="2" t="s">
        <v>297</v>
      </c>
      <c r="G141" s="2" t="s">
        <v>22</v>
      </c>
      <c r="H141" s="2" t="s">
        <v>23</v>
      </c>
      <c r="I141" s="2" t="s">
        <v>24</v>
      </c>
      <c r="J141" s="2" t="s">
        <v>25</v>
      </c>
      <c r="K141" s="2" t="s">
        <v>26</v>
      </c>
      <c r="L141" s="2" t="s">
        <v>25</v>
      </c>
      <c r="M141" s="2" t="s">
        <v>71</v>
      </c>
      <c r="N141" s="2" t="s">
        <v>41</v>
      </c>
      <c r="O141" s="2" t="s">
        <v>29</v>
      </c>
      <c r="P141" s="2" t="s">
        <v>25</v>
      </c>
      <c r="Q141" s="2" t="s">
        <v>315</v>
      </c>
      <c r="R141" s="2" t="s">
        <v>118</v>
      </c>
    </row>
    <row r="142" spans="1:18" ht="22.5" customHeight="1" x14ac:dyDescent="0.25">
      <c r="A142" s="3">
        <v>46183.500150011576</v>
      </c>
      <c r="B142" s="2" t="s">
        <v>316</v>
      </c>
      <c r="C142" s="2">
        <v>49599</v>
      </c>
      <c r="D142" s="2" t="s">
        <v>19</v>
      </c>
      <c r="E142" s="2" t="s">
        <v>296</v>
      </c>
      <c r="F142" s="2" t="s">
        <v>297</v>
      </c>
      <c r="G142" s="2" t="s">
        <v>22</v>
      </c>
      <c r="H142" s="2" t="s">
        <v>23</v>
      </c>
      <c r="I142" s="2" t="s">
        <v>24</v>
      </c>
      <c r="J142" s="2" t="s">
        <v>51</v>
      </c>
      <c r="K142" s="2" t="s">
        <v>26</v>
      </c>
      <c r="L142" s="2" t="s">
        <v>25</v>
      </c>
      <c r="M142" s="2" t="s">
        <v>74</v>
      </c>
      <c r="N142" s="2" t="s">
        <v>173</v>
      </c>
      <c r="O142" s="2" t="s">
        <v>42</v>
      </c>
      <c r="P142" s="2" t="s">
        <v>25</v>
      </c>
      <c r="Q142" s="2" t="s">
        <v>68</v>
      </c>
      <c r="R142" s="2" t="s">
        <v>53</v>
      </c>
    </row>
    <row r="143" spans="1:18" ht="22.5" customHeight="1" x14ac:dyDescent="0.25">
      <c r="A143" s="3">
        <v>46183.503850347217</v>
      </c>
      <c r="B143" s="2" t="s">
        <v>317</v>
      </c>
      <c r="C143" s="2">
        <v>45969</v>
      </c>
      <c r="D143" s="2" t="s">
        <v>19</v>
      </c>
      <c r="E143" s="2" t="s">
        <v>296</v>
      </c>
      <c r="F143" s="2" t="s">
        <v>297</v>
      </c>
      <c r="G143" s="2" t="s">
        <v>22</v>
      </c>
      <c r="H143" s="2" t="s">
        <v>56</v>
      </c>
      <c r="I143" s="2" t="s">
        <v>24</v>
      </c>
      <c r="J143" s="2" t="s">
        <v>25</v>
      </c>
      <c r="K143" s="2" t="s">
        <v>26</v>
      </c>
      <c r="L143" s="2" t="s">
        <v>25</v>
      </c>
      <c r="M143" s="2" t="s">
        <v>64</v>
      </c>
      <c r="N143" s="2" t="s">
        <v>41</v>
      </c>
      <c r="O143" s="2" t="s">
        <v>29</v>
      </c>
      <c r="P143" s="2" t="s">
        <v>25</v>
      </c>
      <c r="Q143" s="2" t="s">
        <v>289</v>
      </c>
      <c r="R143" s="2" t="s">
        <v>86</v>
      </c>
    </row>
    <row r="144" spans="1:18" ht="22.5" customHeight="1" x14ac:dyDescent="0.25">
      <c r="A144" s="3">
        <v>46183.504242048613</v>
      </c>
      <c r="B144" s="2" t="s">
        <v>318</v>
      </c>
      <c r="C144" s="2">
        <v>45927</v>
      </c>
      <c r="D144" s="2" t="s">
        <v>19</v>
      </c>
      <c r="E144" s="2" t="s">
        <v>296</v>
      </c>
      <c r="F144" s="2" t="s">
        <v>297</v>
      </c>
      <c r="G144" s="2" t="s">
        <v>22</v>
      </c>
      <c r="H144" s="2" t="s">
        <v>23</v>
      </c>
      <c r="I144" s="2" t="s">
        <v>170</v>
      </c>
      <c r="J144" s="2" t="s">
        <v>25</v>
      </c>
      <c r="K144" s="2" t="s">
        <v>26</v>
      </c>
      <c r="L144" s="2" t="s">
        <v>25</v>
      </c>
      <c r="M144" s="2" t="s">
        <v>64</v>
      </c>
      <c r="N144" s="2" t="s">
        <v>52</v>
      </c>
      <c r="O144" s="2" t="s">
        <v>29</v>
      </c>
      <c r="P144" s="2" t="s">
        <v>25</v>
      </c>
      <c r="Q144" s="2" t="s">
        <v>319</v>
      </c>
      <c r="R144" s="2" t="s">
        <v>198</v>
      </c>
    </row>
    <row r="145" spans="1:18" ht="22.5" customHeight="1" x14ac:dyDescent="0.25">
      <c r="A145" s="3">
        <v>46183.504315243059</v>
      </c>
      <c r="B145" s="2" t="s">
        <v>320</v>
      </c>
      <c r="C145" s="2">
        <v>48761</v>
      </c>
      <c r="D145" s="2" t="s">
        <v>19</v>
      </c>
      <c r="E145" s="2" t="s">
        <v>296</v>
      </c>
      <c r="F145" s="2" t="s">
        <v>297</v>
      </c>
      <c r="G145" s="2" t="s">
        <v>22</v>
      </c>
      <c r="H145" s="2" t="s">
        <v>70</v>
      </c>
      <c r="I145" s="2" t="s">
        <v>57</v>
      </c>
      <c r="J145" s="2" t="s">
        <v>25</v>
      </c>
      <c r="K145" s="2" t="s">
        <v>26</v>
      </c>
      <c r="L145" s="2" t="s">
        <v>25</v>
      </c>
      <c r="M145" s="2" t="s">
        <v>64</v>
      </c>
      <c r="N145" s="2" t="s">
        <v>278</v>
      </c>
      <c r="O145" s="2" t="s">
        <v>58</v>
      </c>
      <c r="P145" s="2" t="s">
        <v>25</v>
      </c>
      <c r="Q145" s="2" t="s">
        <v>128</v>
      </c>
      <c r="R145" s="2" t="s">
        <v>281</v>
      </c>
    </row>
    <row r="146" spans="1:18" ht="22.5" customHeight="1" x14ac:dyDescent="0.25">
      <c r="A146" s="3">
        <v>46183.50558611111</v>
      </c>
      <c r="B146" s="2" t="s">
        <v>321</v>
      </c>
      <c r="C146" s="2">
        <v>42439</v>
      </c>
      <c r="D146" s="2" t="s">
        <v>19</v>
      </c>
      <c r="E146" s="2" t="s">
        <v>296</v>
      </c>
      <c r="F146" s="2" t="s">
        <v>297</v>
      </c>
      <c r="G146" s="2" t="s">
        <v>83</v>
      </c>
      <c r="H146" s="2" t="s">
        <v>56</v>
      </c>
      <c r="I146" s="2" t="s">
        <v>127</v>
      </c>
      <c r="J146" s="2" t="s">
        <v>25</v>
      </c>
      <c r="K146" s="2" t="s">
        <v>26</v>
      </c>
      <c r="L146" s="2" t="s">
        <v>39</v>
      </c>
      <c r="M146" s="2" t="s">
        <v>64</v>
      </c>
      <c r="N146" s="2" t="s">
        <v>41</v>
      </c>
      <c r="O146" s="2" t="s">
        <v>29</v>
      </c>
      <c r="P146" s="2" t="s">
        <v>59</v>
      </c>
      <c r="Q146" s="2" t="s">
        <v>149</v>
      </c>
      <c r="R146" s="2" t="s">
        <v>118</v>
      </c>
    </row>
    <row r="147" spans="1:18" ht="22.5" customHeight="1" x14ac:dyDescent="0.25">
      <c r="A147" s="3">
        <v>46183.505797245365</v>
      </c>
      <c r="B147" s="2" t="s">
        <v>322</v>
      </c>
      <c r="C147" s="2">
        <v>42235</v>
      </c>
      <c r="D147" s="2" t="s">
        <v>19</v>
      </c>
      <c r="E147" s="2" t="s">
        <v>296</v>
      </c>
      <c r="F147" s="2" t="s">
        <v>297</v>
      </c>
      <c r="G147" s="2" t="s">
        <v>22</v>
      </c>
      <c r="H147" s="2" t="s">
        <v>23</v>
      </c>
      <c r="I147" s="2" t="s">
        <v>127</v>
      </c>
      <c r="J147" s="2" t="s">
        <v>25</v>
      </c>
      <c r="K147" s="2" t="s">
        <v>26</v>
      </c>
      <c r="L147" s="2" t="s">
        <v>25</v>
      </c>
      <c r="M147" s="2" t="s">
        <v>64</v>
      </c>
      <c r="N147" s="2" t="s">
        <v>41</v>
      </c>
      <c r="O147" s="2" t="s">
        <v>29</v>
      </c>
      <c r="P147" s="2" t="s">
        <v>25</v>
      </c>
      <c r="Q147" s="2" t="s">
        <v>43</v>
      </c>
      <c r="R147" s="2" t="s">
        <v>323</v>
      </c>
    </row>
    <row r="148" spans="1:18" ht="22.5" customHeight="1" x14ac:dyDescent="0.25">
      <c r="A148" s="3">
        <v>46183.505863321756</v>
      </c>
      <c r="B148" s="2" t="s">
        <v>324</v>
      </c>
      <c r="C148" s="2">
        <v>48793</v>
      </c>
      <c r="D148" s="2" t="s">
        <v>19</v>
      </c>
      <c r="E148" s="2" t="s">
        <v>296</v>
      </c>
      <c r="F148" s="2" t="s">
        <v>297</v>
      </c>
      <c r="G148" s="2" t="s">
        <v>22</v>
      </c>
      <c r="H148" s="2" t="s">
        <v>56</v>
      </c>
      <c r="I148" s="2" t="s">
        <v>57</v>
      </c>
      <c r="J148" s="2" t="s">
        <v>25</v>
      </c>
      <c r="K148" s="2" t="s">
        <v>26</v>
      </c>
      <c r="L148" s="2" t="s">
        <v>25</v>
      </c>
      <c r="M148" s="2" t="s">
        <v>71</v>
      </c>
      <c r="N148" s="2" t="s">
        <v>113</v>
      </c>
      <c r="O148" s="2" t="s">
        <v>42</v>
      </c>
      <c r="P148" s="2" t="s">
        <v>59</v>
      </c>
      <c r="Q148" s="2" t="s">
        <v>81</v>
      </c>
      <c r="R148" s="2" t="s">
        <v>31</v>
      </c>
    </row>
    <row r="149" spans="1:18" ht="22.5" customHeight="1" x14ac:dyDescent="0.25">
      <c r="A149" s="3">
        <v>46183.506802812495</v>
      </c>
      <c r="B149" s="2" t="s">
        <v>325</v>
      </c>
      <c r="C149" s="2">
        <v>42202</v>
      </c>
      <c r="D149" s="2" t="s">
        <v>19</v>
      </c>
      <c r="E149" s="2" t="s">
        <v>296</v>
      </c>
      <c r="F149" s="2" t="s">
        <v>297</v>
      </c>
      <c r="G149" s="2" t="s">
        <v>22</v>
      </c>
      <c r="H149" s="2" t="s">
        <v>56</v>
      </c>
      <c r="I149" s="2" t="s">
        <v>57</v>
      </c>
      <c r="J149" s="2" t="s">
        <v>25</v>
      </c>
      <c r="K149" s="2" t="s">
        <v>25</v>
      </c>
      <c r="L149" s="2" t="s">
        <v>25</v>
      </c>
      <c r="M149" s="2" t="s">
        <v>89</v>
      </c>
      <c r="N149" s="2" t="s">
        <v>92</v>
      </c>
      <c r="O149" s="2" t="s">
        <v>29</v>
      </c>
      <c r="P149" s="2" t="s">
        <v>25</v>
      </c>
      <c r="Q149" s="2" t="s">
        <v>30</v>
      </c>
      <c r="R149" s="2" t="s">
        <v>86</v>
      </c>
    </row>
    <row r="150" spans="1:18" ht="22.5" customHeight="1" x14ac:dyDescent="0.25">
      <c r="A150" s="3">
        <v>46183.509478495369</v>
      </c>
      <c r="B150" s="2" t="s">
        <v>326</v>
      </c>
      <c r="C150" s="2">
        <v>42178</v>
      </c>
      <c r="D150" s="2" t="s">
        <v>19</v>
      </c>
      <c r="E150" s="2" t="s">
        <v>296</v>
      </c>
      <c r="F150" s="2" t="s">
        <v>297</v>
      </c>
      <c r="G150" s="2" t="s">
        <v>22</v>
      </c>
      <c r="H150" s="2" t="s">
        <v>56</v>
      </c>
      <c r="I150" s="2" t="s">
        <v>57</v>
      </c>
      <c r="J150" s="2" t="s">
        <v>25</v>
      </c>
      <c r="K150" s="2" t="s">
        <v>26</v>
      </c>
      <c r="L150" s="2" t="s">
        <v>25</v>
      </c>
      <c r="M150" s="2" t="s">
        <v>71</v>
      </c>
      <c r="N150" s="2" t="s">
        <v>41</v>
      </c>
      <c r="O150" s="2" t="s">
        <v>58</v>
      </c>
      <c r="P150" s="2" t="s">
        <v>114</v>
      </c>
      <c r="Q150" s="2" t="s">
        <v>120</v>
      </c>
      <c r="R150" s="2" t="s">
        <v>95</v>
      </c>
    </row>
    <row r="151" spans="1:18" ht="22.5" customHeight="1" x14ac:dyDescent="0.25">
      <c r="A151" s="3">
        <v>46183.518569085645</v>
      </c>
      <c r="B151" s="2" t="s">
        <v>327</v>
      </c>
      <c r="C151" s="2">
        <v>42198</v>
      </c>
      <c r="D151" s="2" t="s">
        <v>19</v>
      </c>
      <c r="E151" s="2" t="s">
        <v>296</v>
      </c>
      <c r="F151" s="2" t="s">
        <v>297</v>
      </c>
      <c r="G151" s="2" t="s">
        <v>22</v>
      </c>
      <c r="H151" s="2" t="s">
        <v>56</v>
      </c>
      <c r="I151" s="2" t="s">
        <v>57</v>
      </c>
      <c r="J151" s="2" t="s">
        <v>25</v>
      </c>
      <c r="K151" s="2" t="s">
        <v>26</v>
      </c>
      <c r="L151" s="2" t="s">
        <v>25</v>
      </c>
      <c r="M151" s="2" t="s">
        <v>64</v>
      </c>
      <c r="N151" s="2" t="s">
        <v>41</v>
      </c>
      <c r="O151" s="2" t="s">
        <v>29</v>
      </c>
      <c r="P151" s="2" t="s">
        <v>25</v>
      </c>
      <c r="Q151" s="2" t="s">
        <v>149</v>
      </c>
      <c r="R151" s="2" t="s">
        <v>118</v>
      </c>
    </row>
    <row r="152" spans="1:18" ht="22.5" customHeight="1" x14ac:dyDescent="0.25">
      <c r="A152" s="3">
        <v>46183.54285795139</v>
      </c>
      <c r="B152" s="2" t="s">
        <v>328</v>
      </c>
      <c r="C152" s="2">
        <v>49735</v>
      </c>
      <c r="D152" s="2" t="s">
        <v>19</v>
      </c>
      <c r="E152" s="2" t="s">
        <v>296</v>
      </c>
      <c r="F152" s="2" t="s">
        <v>297</v>
      </c>
      <c r="G152" s="2" t="s">
        <v>22</v>
      </c>
      <c r="H152" s="2" t="s">
        <v>56</v>
      </c>
      <c r="I152" s="2" t="s">
        <v>24</v>
      </c>
      <c r="J152" s="2" t="s">
        <v>25</v>
      </c>
      <c r="K152" s="2" t="s">
        <v>26</v>
      </c>
      <c r="L152" s="2" t="s">
        <v>39</v>
      </c>
      <c r="M152" s="2" t="s">
        <v>64</v>
      </c>
      <c r="N152" s="2" t="s">
        <v>278</v>
      </c>
      <c r="O152" s="2" t="s">
        <v>29</v>
      </c>
      <c r="P152" s="2" t="s">
        <v>25</v>
      </c>
      <c r="Q152" s="2" t="s">
        <v>100</v>
      </c>
      <c r="R152" s="2" t="s">
        <v>65</v>
      </c>
    </row>
    <row r="153" spans="1:18" ht="22.5" customHeight="1" x14ac:dyDescent="0.25">
      <c r="A153" s="3">
        <v>46183.54633759259</v>
      </c>
      <c r="B153" s="2" t="s">
        <v>329</v>
      </c>
      <c r="C153" s="2">
        <v>42159</v>
      </c>
      <c r="D153" s="2" t="s">
        <v>19</v>
      </c>
      <c r="E153" s="2" t="s">
        <v>296</v>
      </c>
      <c r="F153" s="2" t="s">
        <v>297</v>
      </c>
      <c r="G153" s="2" t="s">
        <v>33</v>
      </c>
      <c r="H153" s="2" t="s">
        <v>23</v>
      </c>
      <c r="I153" s="2" t="s">
        <v>170</v>
      </c>
      <c r="J153" s="2" t="s">
        <v>51</v>
      </c>
      <c r="K153" s="2" t="s">
        <v>26</v>
      </c>
      <c r="L153" s="2" t="s">
        <v>25</v>
      </c>
      <c r="M153" s="2" t="s">
        <v>71</v>
      </c>
      <c r="N153" s="2" t="s">
        <v>28</v>
      </c>
      <c r="O153" s="2" t="s">
        <v>29</v>
      </c>
      <c r="P153" s="2" t="s">
        <v>25</v>
      </c>
      <c r="Q153" s="2" t="s">
        <v>100</v>
      </c>
      <c r="R153" s="2" t="s">
        <v>330</v>
      </c>
    </row>
    <row r="154" spans="1:18" ht="22.5" customHeight="1" x14ac:dyDescent="0.25">
      <c r="A154" s="3">
        <v>46183.549437094909</v>
      </c>
      <c r="B154" s="2" t="s">
        <v>331</v>
      </c>
      <c r="C154" s="2">
        <v>42136</v>
      </c>
      <c r="D154" s="2" t="s">
        <v>19</v>
      </c>
      <c r="E154" s="2" t="s">
        <v>296</v>
      </c>
      <c r="F154" s="2" t="s">
        <v>297</v>
      </c>
      <c r="G154" s="2" t="s">
        <v>22</v>
      </c>
      <c r="H154" s="2" t="s">
        <v>56</v>
      </c>
      <c r="I154" s="2" t="s">
        <v>46</v>
      </c>
      <c r="J154" s="2" t="s">
        <v>25</v>
      </c>
      <c r="K154" s="2" t="s">
        <v>26</v>
      </c>
      <c r="L154" s="2" t="s">
        <v>25</v>
      </c>
      <c r="M154" s="2" t="s">
        <v>64</v>
      </c>
      <c r="N154" s="2" t="s">
        <v>41</v>
      </c>
      <c r="O154" s="2" t="s">
        <v>29</v>
      </c>
      <c r="P154" s="2" t="s">
        <v>25</v>
      </c>
      <c r="Q154" s="2" t="s">
        <v>185</v>
      </c>
      <c r="R154" s="2" t="s">
        <v>206</v>
      </c>
    </row>
    <row r="155" spans="1:18" ht="22.5" customHeight="1" x14ac:dyDescent="0.25">
      <c r="A155" s="3">
        <v>46183.552761539351</v>
      </c>
      <c r="B155" s="2" t="s">
        <v>332</v>
      </c>
      <c r="C155" s="2">
        <v>42513</v>
      </c>
      <c r="D155" s="2" t="s">
        <v>19</v>
      </c>
      <c r="E155" s="2" t="s">
        <v>296</v>
      </c>
      <c r="F155" s="2" t="s">
        <v>297</v>
      </c>
      <c r="G155" s="2" t="s">
        <v>22</v>
      </c>
      <c r="H155" s="2" t="s">
        <v>56</v>
      </c>
      <c r="I155" s="2" t="s">
        <v>24</v>
      </c>
      <c r="J155" s="2" t="s">
        <v>25</v>
      </c>
      <c r="K155" s="2" t="s">
        <v>25</v>
      </c>
      <c r="L155" s="2" t="s">
        <v>39</v>
      </c>
      <c r="M155" s="2" t="s">
        <v>333</v>
      </c>
      <c r="N155" s="2" t="s">
        <v>113</v>
      </c>
      <c r="O155" s="2" t="s">
        <v>105</v>
      </c>
      <c r="P155" s="2" t="s">
        <v>25</v>
      </c>
      <c r="Q155" s="2" t="s">
        <v>36</v>
      </c>
      <c r="R155" s="2" t="s">
        <v>31</v>
      </c>
    </row>
    <row r="156" spans="1:18" ht="22.5" customHeight="1" x14ac:dyDescent="0.25">
      <c r="A156" s="3">
        <v>46183.553006979171</v>
      </c>
      <c r="B156" s="2" t="s">
        <v>334</v>
      </c>
      <c r="C156" s="2">
        <v>42091</v>
      </c>
      <c r="D156" s="2" t="s">
        <v>19</v>
      </c>
      <c r="E156" s="2" t="s">
        <v>296</v>
      </c>
      <c r="F156" s="2" t="s">
        <v>297</v>
      </c>
      <c r="G156" s="2" t="s">
        <v>33</v>
      </c>
      <c r="H156" s="2" t="s">
        <v>56</v>
      </c>
      <c r="I156" s="2" t="s">
        <v>24</v>
      </c>
      <c r="J156" s="2" t="s">
        <v>51</v>
      </c>
      <c r="K156" s="2" t="s">
        <v>26</v>
      </c>
      <c r="L156" s="2" t="s">
        <v>39</v>
      </c>
      <c r="M156" s="2" t="s">
        <v>27</v>
      </c>
      <c r="N156" s="2" t="s">
        <v>52</v>
      </c>
      <c r="O156" s="2" t="s">
        <v>93</v>
      </c>
      <c r="P156" s="2" t="s">
        <v>63</v>
      </c>
      <c r="Q156" s="2" t="s">
        <v>81</v>
      </c>
      <c r="R156" s="2" t="s">
        <v>335</v>
      </c>
    </row>
    <row r="157" spans="1:18" ht="22.5" customHeight="1" x14ac:dyDescent="0.25">
      <c r="A157" s="3">
        <v>46183.55368164352</v>
      </c>
      <c r="B157" s="2" t="s">
        <v>336</v>
      </c>
      <c r="C157" s="2">
        <v>48195</v>
      </c>
      <c r="D157" s="2" t="s">
        <v>19</v>
      </c>
      <c r="E157" s="2" t="s">
        <v>296</v>
      </c>
      <c r="F157" s="2" t="s">
        <v>297</v>
      </c>
      <c r="G157" s="2" t="s">
        <v>33</v>
      </c>
      <c r="H157" s="2" t="s">
        <v>23</v>
      </c>
      <c r="I157" s="2" t="s">
        <v>57</v>
      </c>
      <c r="J157" s="2" t="s">
        <v>51</v>
      </c>
      <c r="K157" s="2" t="s">
        <v>26</v>
      </c>
      <c r="L157" s="2" t="s">
        <v>39</v>
      </c>
      <c r="M157" s="2" t="s">
        <v>74</v>
      </c>
      <c r="N157" s="2" t="s">
        <v>210</v>
      </c>
      <c r="O157" s="2" t="s">
        <v>58</v>
      </c>
      <c r="P157" s="2" t="s">
        <v>114</v>
      </c>
      <c r="Q157" s="2" t="s">
        <v>303</v>
      </c>
      <c r="R157" s="2" t="s">
        <v>337</v>
      </c>
    </row>
    <row r="158" spans="1:18" ht="22.5" customHeight="1" x14ac:dyDescent="0.25">
      <c r="A158" s="3">
        <v>46183.557783206023</v>
      </c>
      <c r="B158" s="2" t="s">
        <v>338</v>
      </c>
      <c r="C158" s="2">
        <v>49441</v>
      </c>
      <c r="D158" s="2" t="s">
        <v>19</v>
      </c>
      <c r="E158" s="2" t="s">
        <v>296</v>
      </c>
      <c r="F158" s="2" t="s">
        <v>297</v>
      </c>
      <c r="G158" s="2" t="s">
        <v>22</v>
      </c>
      <c r="H158" s="2" t="s">
        <v>23</v>
      </c>
      <c r="I158" s="2" t="s">
        <v>170</v>
      </c>
      <c r="J158" s="2" t="s">
        <v>25</v>
      </c>
      <c r="K158" s="2" t="s">
        <v>112</v>
      </c>
      <c r="L158" s="2" t="s">
        <v>25</v>
      </c>
      <c r="M158" s="2" t="s">
        <v>71</v>
      </c>
      <c r="N158" s="2" t="s">
        <v>173</v>
      </c>
      <c r="O158" s="2" t="s">
        <v>58</v>
      </c>
      <c r="P158" s="2" t="s">
        <v>25</v>
      </c>
      <c r="Q158" s="2" t="s">
        <v>128</v>
      </c>
      <c r="R158" s="2" t="s">
        <v>86</v>
      </c>
    </row>
    <row r="159" spans="1:18" ht="22.5" customHeight="1" x14ac:dyDescent="0.25">
      <c r="A159" s="3">
        <v>46183.558397743051</v>
      </c>
      <c r="B159" s="2" t="s">
        <v>339</v>
      </c>
      <c r="C159" s="2">
        <v>42428</v>
      </c>
      <c r="D159" s="2" t="s">
        <v>19</v>
      </c>
      <c r="E159" s="2" t="s">
        <v>296</v>
      </c>
      <c r="F159" s="2" t="s">
        <v>297</v>
      </c>
      <c r="G159" s="2" t="s">
        <v>22</v>
      </c>
      <c r="H159" s="2" t="s">
        <v>70</v>
      </c>
      <c r="I159" s="2" t="s">
        <v>57</v>
      </c>
      <c r="J159" s="2" t="s">
        <v>51</v>
      </c>
      <c r="K159" s="2" t="s">
        <v>26</v>
      </c>
      <c r="L159" s="2" t="s">
        <v>25</v>
      </c>
      <c r="M159" s="2" t="s">
        <v>71</v>
      </c>
      <c r="N159" s="2" t="s">
        <v>41</v>
      </c>
      <c r="O159" s="2" t="s">
        <v>42</v>
      </c>
      <c r="P159" s="2" t="s">
        <v>35</v>
      </c>
      <c r="Q159" s="2" t="s">
        <v>164</v>
      </c>
      <c r="R159" s="2" t="s">
        <v>145</v>
      </c>
    </row>
    <row r="160" spans="1:18" ht="22.5" customHeight="1" x14ac:dyDescent="0.25">
      <c r="A160" s="3">
        <v>46183.585004641209</v>
      </c>
      <c r="B160" s="2" t="s">
        <v>340</v>
      </c>
      <c r="C160" s="2">
        <v>48230</v>
      </c>
      <c r="D160" s="2" t="s">
        <v>19</v>
      </c>
      <c r="E160" s="2" t="s">
        <v>296</v>
      </c>
      <c r="F160" s="2" t="s">
        <v>297</v>
      </c>
      <c r="G160" s="2" t="s">
        <v>22</v>
      </c>
      <c r="H160" s="2" t="s">
        <v>56</v>
      </c>
      <c r="I160" s="2" t="s">
        <v>24</v>
      </c>
      <c r="J160" s="2" t="s">
        <v>51</v>
      </c>
      <c r="K160" s="2" t="s">
        <v>26</v>
      </c>
      <c r="L160" s="2" t="s">
        <v>25</v>
      </c>
      <c r="M160" s="2" t="s">
        <v>64</v>
      </c>
      <c r="N160" s="2" t="s">
        <v>278</v>
      </c>
      <c r="O160" s="2" t="s">
        <v>42</v>
      </c>
      <c r="P160" s="2" t="s">
        <v>25</v>
      </c>
      <c r="Q160" s="2" t="s">
        <v>100</v>
      </c>
      <c r="R160" s="2" t="s">
        <v>86</v>
      </c>
    </row>
    <row r="161" spans="1:18" ht="22.5" customHeight="1" x14ac:dyDescent="0.25">
      <c r="A161" s="3">
        <v>46183.587665601852</v>
      </c>
      <c r="B161" s="2" t="s">
        <v>341</v>
      </c>
      <c r="C161" s="2">
        <v>42048</v>
      </c>
      <c r="D161" s="2" t="s">
        <v>19</v>
      </c>
      <c r="E161" s="2" t="s">
        <v>296</v>
      </c>
      <c r="F161" s="2" t="s">
        <v>297</v>
      </c>
      <c r="G161" s="2" t="s">
        <v>22</v>
      </c>
      <c r="H161" s="2" t="s">
        <v>56</v>
      </c>
      <c r="I161" s="2" t="s">
        <v>57</v>
      </c>
      <c r="J161" s="2" t="s">
        <v>25</v>
      </c>
      <c r="K161" s="2" t="s">
        <v>26</v>
      </c>
      <c r="L161" s="2" t="s">
        <v>25</v>
      </c>
      <c r="M161" s="2" t="s">
        <v>27</v>
      </c>
      <c r="N161" s="2" t="s">
        <v>28</v>
      </c>
      <c r="O161" s="2" t="s">
        <v>42</v>
      </c>
      <c r="P161" s="2" t="s">
        <v>25</v>
      </c>
      <c r="Q161" s="2" t="s">
        <v>81</v>
      </c>
      <c r="R161" s="2" t="s">
        <v>145</v>
      </c>
    </row>
    <row r="162" spans="1:18" ht="22.5" customHeight="1" x14ac:dyDescent="0.25">
      <c r="A162" s="3">
        <v>46183.588589421299</v>
      </c>
      <c r="B162" s="2" t="s">
        <v>342</v>
      </c>
      <c r="C162" s="2">
        <v>46998</v>
      </c>
      <c r="D162" s="2" t="s">
        <v>19</v>
      </c>
      <c r="E162" s="2" t="s">
        <v>296</v>
      </c>
      <c r="F162" s="2" t="s">
        <v>297</v>
      </c>
      <c r="G162" s="2" t="s">
        <v>22</v>
      </c>
      <c r="H162" s="2" t="s">
        <v>23</v>
      </c>
      <c r="I162" s="2" t="s">
        <v>127</v>
      </c>
      <c r="J162" s="2" t="s">
        <v>25</v>
      </c>
      <c r="K162" s="2" t="s">
        <v>26</v>
      </c>
      <c r="L162" s="2" t="s">
        <v>25</v>
      </c>
      <c r="M162" s="2" t="s">
        <v>64</v>
      </c>
      <c r="N162" s="2" t="s">
        <v>135</v>
      </c>
      <c r="O162" s="2" t="s">
        <v>42</v>
      </c>
      <c r="P162" s="2" t="s">
        <v>35</v>
      </c>
      <c r="Q162" s="2" t="s">
        <v>220</v>
      </c>
      <c r="R162" s="2" t="s">
        <v>72</v>
      </c>
    </row>
    <row r="163" spans="1:18" ht="22.5" customHeight="1" x14ac:dyDescent="0.25">
      <c r="A163" s="3">
        <v>46183.588807743057</v>
      </c>
      <c r="B163" s="2" t="s">
        <v>343</v>
      </c>
      <c r="C163" s="2">
        <v>48491</v>
      </c>
      <c r="D163" s="2" t="s">
        <v>19</v>
      </c>
      <c r="E163" s="2" t="s">
        <v>296</v>
      </c>
      <c r="F163" s="2" t="s">
        <v>297</v>
      </c>
      <c r="G163" s="2" t="s">
        <v>22</v>
      </c>
      <c r="H163" s="2" t="s">
        <v>23</v>
      </c>
      <c r="I163" s="2" t="s">
        <v>170</v>
      </c>
      <c r="J163" s="2" t="s">
        <v>25</v>
      </c>
      <c r="K163" s="2" t="s">
        <v>26</v>
      </c>
      <c r="L163" s="2" t="s">
        <v>39</v>
      </c>
      <c r="M163" s="2" t="s">
        <v>64</v>
      </c>
      <c r="N163" s="2" t="s">
        <v>131</v>
      </c>
      <c r="O163" s="2" t="s">
        <v>29</v>
      </c>
      <c r="P163" s="2" t="s">
        <v>25</v>
      </c>
      <c r="Q163" s="2" t="s">
        <v>128</v>
      </c>
      <c r="R163" s="2" t="s">
        <v>65</v>
      </c>
    </row>
    <row r="164" spans="1:18" ht="22.5" customHeight="1" x14ac:dyDescent="0.25">
      <c r="A164" s="3">
        <v>46183.594426400465</v>
      </c>
      <c r="B164" s="2" t="s">
        <v>344</v>
      </c>
      <c r="C164" s="2">
        <v>42427</v>
      </c>
      <c r="D164" s="2" t="s">
        <v>19</v>
      </c>
      <c r="E164" s="2" t="s">
        <v>296</v>
      </c>
      <c r="F164" s="2" t="s">
        <v>297</v>
      </c>
      <c r="G164" s="2" t="s">
        <v>22</v>
      </c>
      <c r="H164" s="2" t="s">
        <v>23</v>
      </c>
      <c r="I164" s="2" t="s">
        <v>24</v>
      </c>
      <c r="J164" s="2" t="s">
        <v>51</v>
      </c>
      <c r="K164" s="2" t="s">
        <v>26</v>
      </c>
      <c r="L164" s="2" t="s">
        <v>25</v>
      </c>
      <c r="M164" s="2" t="s">
        <v>71</v>
      </c>
      <c r="N164" s="2" t="s">
        <v>41</v>
      </c>
      <c r="O164" s="2" t="s">
        <v>29</v>
      </c>
      <c r="P164" s="2" t="s">
        <v>59</v>
      </c>
      <c r="Q164" s="2" t="s">
        <v>128</v>
      </c>
      <c r="R164" s="2" t="s">
        <v>95</v>
      </c>
    </row>
    <row r="165" spans="1:18" ht="22.5" customHeight="1" x14ac:dyDescent="0.25">
      <c r="A165" s="3">
        <v>46183.596051597226</v>
      </c>
      <c r="B165" s="2" t="s">
        <v>345</v>
      </c>
      <c r="C165" s="2">
        <v>42521</v>
      </c>
      <c r="D165" s="2" t="s">
        <v>19</v>
      </c>
      <c r="E165" s="2" t="s">
        <v>296</v>
      </c>
      <c r="F165" s="2" t="s">
        <v>297</v>
      </c>
      <c r="G165" s="2" t="s">
        <v>22</v>
      </c>
      <c r="H165" s="2" t="s">
        <v>23</v>
      </c>
      <c r="I165" s="2" t="s">
        <v>170</v>
      </c>
      <c r="J165" s="2" t="s">
        <v>25</v>
      </c>
      <c r="K165" s="2" t="s">
        <v>26</v>
      </c>
      <c r="L165" s="2" t="s">
        <v>39</v>
      </c>
      <c r="M165" s="2" t="s">
        <v>64</v>
      </c>
      <c r="N165" s="2" t="s">
        <v>52</v>
      </c>
      <c r="O165" s="2" t="s">
        <v>42</v>
      </c>
      <c r="P165" s="2" t="s">
        <v>35</v>
      </c>
      <c r="Q165" s="2" t="s">
        <v>128</v>
      </c>
      <c r="R165" s="2" t="s">
        <v>53</v>
      </c>
    </row>
    <row r="166" spans="1:18" ht="22.5" customHeight="1" x14ac:dyDescent="0.25">
      <c r="A166" s="3">
        <v>46183.607663657407</v>
      </c>
      <c r="B166" s="2" t="s">
        <v>346</v>
      </c>
      <c r="C166" s="2">
        <v>42548</v>
      </c>
      <c r="D166" s="2" t="s">
        <v>19</v>
      </c>
      <c r="E166" s="2" t="s">
        <v>296</v>
      </c>
      <c r="F166" s="2" t="s">
        <v>297</v>
      </c>
      <c r="G166" s="2" t="s">
        <v>22</v>
      </c>
      <c r="H166" s="2" t="s">
        <v>56</v>
      </c>
      <c r="I166" s="2" t="s">
        <v>24</v>
      </c>
      <c r="J166" s="2" t="s">
        <v>25</v>
      </c>
      <c r="K166" s="2" t="s">
        <v>26</v>
      </c>
      <c r="L166" s="2" t="s">
        <v>25</v>
      </c>
      <c r="M166" s="2" t="s">
        <v>64</v>
      </c>
      <c r="N166" s="2" t="s">
        <v>41</v>
      </c>
      <c r="O166" s="2" t="s">
        <v>29</v>
      </c>
      <c r="P166" s="2" t="s">
        <v>25</v>
      </c>
      <c r="Q166" s="2" t="s">
        <v>128</v>
      </c>
      <c r="R166" s="2" t="s">
        <v>330</v>
      </c>
    </row>
    <row r="167" spans="1:18" ht="22.5" customHeight="1" x14ac:dyDescent="0.25">
      <c r="A167" s="3">
        <v>46183.608223599542</v>
      </c>
      <c r="B167" s="2" t="s">
        <v>347</v>
      </c>
      <c r="C167" s="2">
        <v>48601</v>
      </c>
      <c r="D167" s="2" t="s">
        <v>19</v>
      </c>
      <c r="E167" s="2" t="s">
        <v>296</v>
      </c>
      <c r="F167" s="2" t="s">
        <v>297</v>
      </c>
      <c r="G167" s="2" t="s">
        <v>22</v>
      </c>
      <c r="H167" s="2" t="s">
        <v>70</v>
      </c>
      <c r="I167" s="2" t="s">
        <v>57</v>
      </c>
      <c r="J167" s="2" t="s">
        <v>25</v>
      </c>
      <c r="K167" s="2" t="s">
        <v>26</v>
      </c>
      <c r="L167" s="2" t="s">
        <v>25</v>
      </c>
      <c r="M167" s="2" t="s">
        <v>71</v>
      </c>
      <c r="N167" s="2" t="s">
        <v>28</v>
      </c>
      <c r="O167" s="2" t="s">
        <v>29</v>
      </c>
      <c r="P167" s="2" t="s">
        <v>25</v>
      </c>
      <c r="Q167" s="2" t="s">
        <v>319</v>
      </c>
      <c r="R167" s="2" t="s">
        <v>95</v>
      </c>
    </row>
    <row r="168" spans="1:18" ht="22.5" customHeight="1" x14ac:dyDescent="0.25">
      <c r="A168" s="3">
        <v>46183.61543273148</v>
      </c>
      <c r="B168" s="2" t="s">
        <v>348</v>
      </c>
      <c r="C168" s="2">
        <v>42418</v>
      </c>
      <c r="D168" s="2" t="s">
        <v>19</v>
      </c>
      <c r="E168" s="2" t="s">
        <v>296</v>
      </c>
      <c r="F168" s="2" t="s">
        <v>297</v>
      </c>
      <c r="G168" s="2" t="s">
        <v>33</v>
      </c>
      <c r="H168" s="2" t="s">
        <v>23</v>
      </c>
      <c r="I168" s="2" t="s">
        <v>24</v>
      </c>
      <c r="J168" s="2" t="s">
        <v>25</v>
      </c>
      <c r="K168" s="2" t="s">
        <v>26</v>
      </c>
      <c r="L168" s="2" t="s">
        <v>25</v>
      </c>
      <c r="M168" s="2" t="s">
        <v>27</v>
      </c>
      <c r="N168" s="2" t="s">
        <v>148</v>
      </c>
      <c r="O168" s="2" t="s">
        <v>29</v>
      </c>
      <c r="P168" s="2" t="s">
        <v>25</v>
      </c>
      <c r="Q168" s="2" t="s">
        <v>162</v>
      </c>
      <c r="R168" s="2" t="s">
        <v>349</v>
      </c>
    </row>
    <row r="169" spans="1:18" ht="22.5" customHeight="1" x14ac:dyDescent="0.25">
      <c r="A169" s="3">
        <v>46183.623950370369</v>
      </c>
      <c r="B169" s="2" t="s">
        <v>350</v>
      </c>
      <c r="C169" s="2">
        <v>45962</v>
      </c>
      <c r="D169" s="2" t="s">
        <v>19</v>
      </c>
      <c r="E169" s="2" t="s">
        <v>296</v>
      </c>
      <c r="F169" s="2" t="s">
        <v>297</v>
      </c>
      <c r="G169" s="2" t="s">
        <v>130</v>
      </c>
      <c r="H169" s="2" t="s">
        <v>56</v>
      </c>
      <c r="I169" s="2" t="s">
        <v>46</v>
      </c>
      <c r="J169" s="2" t="s">
        <v>51</v>
      </c>
      <c r="K169" s="2" t="s">
        <v>26</v>
      </c>
      <c r="L169" s="2" t="s">
        <v>39</v>
      </c>
      <c r="M169" s="2" t="s">
        <v>64</v>
      </c>
      <c r="N169" s="2" t="s">
        <v>80</v>
      </c>
      <c r="O169" s="2" t="s">
        <v>29</v>
      </c>
      <c r="P169" s="2" t="s">
        <v>35</v>
      </c>
      <c r="Q169" s="2" t="s">
        <v>162</v>
      </c>
      <c r="R169" s="2" t="s">
        <v>206</v>
      </c>
    </row>
    <row r="170" spans="1:18" ht="22.5" customHeight="1" x14ac:dyDescent="0.25">
      <c r="A170" s="3">
        <v>46183.634752673606</v>
      </c>
      <c r="B170" s="2" t="s">
        <v>351</v>
      </c>
      <c r="C170" s="2">
        <v>48579</v>
      </c>
      <c r="D170" s="2" t="s">
        <v>19</v>
      </c>
      <c r="E170" s="2" t="s">
        <v>296</v>
      </c>
      <c r="F170" s="2" t="s">
        <v>297</v>
      </c>
      <c r="G170" s="2" t="s">
        <v>33</v>
      </c>
      <c r="H170" s="2" t="s">
        <v>56</v>
      </c>
      <c r="I170" s="2" t="s">
        <v>46</v>
      </c>
      <c r="J170" s="2" t="s">
        <v>51</v>
      </c>
      <c r="K170" s="2" t="s">
        <v>26</v>
      </c>
      <c r="L170" s="2" t="s">
        <v>25</v>
      </c>
      <c r="M170" s="2" t="s">
        <v>64</v>
      </c>
      <c r="N170" s="2" t="s">
        <v>113</v>
      </c>
      <c r="O170" s="2" t="s">
        <v>42</v>
      </c>
      <c r="P170" s="2" t="s">
        <v>35</v>
      </c>
      <c r="Q170" s="2" t="s">
        <v>43</v>
      </c>
      <c r="R170" s="2" t="s">
        <v>86</v>
      </c>
    </row>
    <row r="171" spans="1:18" ht="22.5" customHeight="1" x14ac:dyDescent="0.25">
      <c r="A171" s="3">
        <v>46183.638910960653</v>
      </c>
      <c r="B171" s="2" t="s">
        <v>352</v>
      </c>
      <c r="C171" s="2">
        <v>42876</v>
      </c>
      <c r="D171" s="2" t="s">
        <v>19</v>
      </c>
      <c r="E171" s="2" t="s">
        <v>296</v>
      </c>
      <c r="F171" s="2" t="s">
        <v>297</v>
      </c>
      <c r="G171" s="2" t="s">
        <v>50</v>
      </c>
      <c r="H171" s="2" t="s">
        <v>56</v>
      </c>
      <c r="I171" s="2" t="s">
        <v>24</v>
      </c>
      <c r="J171" s="2" t="s">
        <v>51</v>
      </c>
      <c r="K171" s="2" t="s">
        <v>26</v>
      </c>
      <c r="L171" s="2" t="s">
        <v>39</v>
      </c>
      <c r="M171" s="2" t="s">
        <v>71</v>
      </c>
      <c r="N171" s="2" t="s">
        <v>41</v>
      </c>
      <c r="O171" s="2" t="s">
        <v>93</v>
      </c>
      <c r="P171" s="2" t="s">
        <v>35</v>
      </c>
      <c r="Q171" s="2" t="s">
        <v>81</v>
      </c>
      <c r="R171" s="2" t="s">
        <v>257</v>
      </c>
    </row>
    <row r="172" spans="1:18" ht="22.5" customHeight="1" x14ac:dyDescent="0.25">
      <c r="A172" s="3">
        <v>46183.643578159725</v>
      </c>
      <c r="B172" s="2" t="s">
        <v>353</v>
      </c>
      <c r="C172" s="2">
        <v>46446</v>
      </c>
      <c r="D172" s="2" t="s">
        <v>19</v>
      </c>
      <c r="E172" s="2" t="s">
        <v>296</v>
      </c>
      <c r="F172" s="2" t="s">
        <v>297</v>
      </c>
      <c r="G172" s="2" t="s">
        <v>33</v>
      </c>
      <c r="H172" s="2" t="s">
        <v>56</v>
      </c>
      <c r="I172" s="2" t="s">
        <v>46</v>
      </c>
      <c r="J172" s="2" t="s">
        <v>51</v>
      </c>
      <c r="K172" s="2" t="s">
        <v>26</v>
      </c>
      <c r="L172" s="2" t="s">
        <v>25</v>
      </c>
      <c r="M172" s="2" t="s">
        <v>27</v>
      </c>
      <c r="N172" s="2" t="s">
        <v>41</v>
      </c>
      <c r="O172" s="2" t="s">
        <v>105</v>
      </c>
      <c r="P172" s="2" t="s">
        <v>25</v>
      </c>
      <c r="Q172" s="2" t="s">
        <v>128</v>
      </c>
      <c r="R172" s="2" t="s">
        <v>233</v>
      </c>
    </row>
    <row r="173" spans="1:18" ht="22.5" customHeight="1" x14ac:dyDescent="0.25">
      <c r="A173" s="3">
        <v>46183.748730798616</v>
      </c>
      <c r="B173" s="2" t="s">
        <v>354</v>
      </c>
      <c r="C173" s="2">
        <v>45953</v>
      </c>
      <c r="D173" s="2" t="s">
        <v>19</v>
      </c>
      <c r="E173" s="2" t="s">
        <v>296</v>
      </c>
      <c r="F173" s="2" t="s">
        <v>297</v>
      </c>
      <c r="G173" s="2" t="s">
        <v>22</v>
      </c>
      <c r="H173" s="2" t="s">
        <v>23</v>
      </c>
      <c r="I173" s="2" t="s">
        <v>24</v>
      </c>
      <c r="J173" s="2" t="s">
        <v>25</v>
      </c>
      <c r="K173" s="2" t="s">
        <v>26</v>
      </c>
      <c r="L173" s="2" t="s">
        <v>25</v>
      </c>
      <c r="M173" s="2" t="s">
        <v>280</v>
      </c>
      <c r="N173" s="2" t="s">
        <v>28</v>
      </c>
      <c r="O173" s="2" t="s">
        <v>29</v>
      </c>
      <c r="P173" s="2" t="s">
        <v>25</v>
      </c>
      <c r="Q173" s="2" t="s">
        <v>128</v>
      </c>
      <c r="R173" s="2" t="s">
        <v>223</v>
      </c>
    </row>
    <row r="174" spans="1:18" ht="22.5" customHeight="1" x14ac:dyDescent="0.25">
      <c r="A174" s="3">
        <v>46183.823272650465</v>
      </c>
      <c r="B174" s="2" t="s">
        <v>355</v>
      </c>
      <c r="C174" s="2">
        <v>46682</v>
      </c>
      <c r="D174" s="2" t="s">
        <v>19</v>
      </c>
      <c r="E174" s="2" t="s">
        <v>296</v>
      </c>
      <c r="F174" s="2" t="s">
        <v>297</v>
      </c>
      <c r="G174" s="2" t="s">
        <v>22</v>
      </c>
      <c r="H174" s="2" t="s">
        <v>56</v>
      </c>
      <c r="I174" s="2" t="s">
        <v>57</v>
      </c>
      <c r="J174" s="2" t="s">
        <v>25</v>
      </c>
      <c r="K174" s="2" t="s">
        <v>26</v>
      </c>
      <c r="L174" s="2" t="s">
        <v>25</v>
      </c>
      <c r="M174" s="2" t="s">
        <v>71</v>
      </c>
      <c r="N174" s="2" t="s">
        <v>28</v>
      </c>
      <c r="O174" s="2" t="s">
        <v>105</v>
      </c>
      <c r="P174" s="2" t="s">
        <v>114</v>
      </c>
      <c r="Q174" s="2" t="s">
        <v>283</v>
      </c>
      <c r="R174" s="2" t="s">
        <v>118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731D-8747-4A17-ABA3-4D70092E8A78}">
  <dimension ref="A1:O34"/>
  <sheetViews>
    <sheetView zoomScale="56" workbookViewId="0">
      <selection activeCell="V43" sqref="V43"/>
    </sheetView>
  </sheetViews>
  <sheetFormatPr baseColWidth="10" defaultColWidth="8.88671875" defaultRowHeight="13.2" x14ac:dyDescent="0.25"/>
  <cols>
    <col min="1" max="1" width="29.88671875" customWidth="1"/>
    <col min="2" max="2" width="28.5546875" customWidth="1"/>
    <col min="3" max="3" width="9.6640625" bestFit="1" customWidth="1"/>
    <col min="5" max="5" width="33.6640625" customWidth="1"/>
    <col min="6" max="6" width="15.88671875" customWidth="1"/>
    <col min="7" max="7" width="18.44140625" customWidth="1"/>
    <col min="9" max="9" width="24.44140625" customWidth="1"/>
    <col min="10" max="10" width="18.77734375" customWidth="1"/>
    <col min="11" max="11" width="18.88671875" customWidth="1"/>
    <col min="13" max="13" width="17.21875" customWidth="1"/>
    <col min="14" max="14" width="19.77734375" customWidth="1"/>
    <col min="15" max="15" width="19" customWidth="1"/>
  </cols>
  <sheetData>
    <row r="1" spans="1:15" x14ac:dyDescent="0.25">
      <c r="A1" s="8" t="s">
        <v>356</v>
      </c>
      <c r="B1" s="8" t="s">
        <v>357</v>
      </c>
      <c r="C1" s="8" t="s">
        <v>358</v>
      </c>
      <c r="E1" s="6" t="s">
        <v>359</v>
      </c>
      <c r="F1" s="6" t="s">
        <v>357</v>
      </c>
      <c r="G1" s="6" t="s">
        <v>358</v>
      </c>
      <c r="I1" s="7" t="s">
        <v>360</v>
      </c>
      <c r="J1" s="7" t="s">
        <v>361</v>
      </c>
      <c r="K1" s="7" t="s">
        <v>358</v>
      </c>
      <c r="M1" s="11" t="s">
        <v>362</v>
      </c>
      <c r="N1" s="11" t="s">
        <v>357</v>
      </c>
      <c r="O1" s="11" t="s">
        <v>358</v>
      </c>
    </row>
    <row r="2" spans="1:15" x14ac:dyDescent="0.25">
      <c r="A2" s="5" t="s">
        <v>363</v>
      </c>
      <c r="B2">
        <f>COUNTIF('Respuestas de formulario 1'!G:G,"*Celular propio*")</f>
        <v>156</v>
      </c>
      <c r="C2" s="4">
        <f>B2/SUM($B$2:$B$5)</f>
        <v>0.64730290456431538</v>
      </c>
      <c r="E2" s="9" t="s">
        <v>23</v>
      </c>
      <c r="F2">
        <f>COUNTIF('Respuestas de formulario 1'!H:H,"*Familia*")</f>
        <v>80</v>
      </c>
      <c r="G2" s="4">
        <f>F2/SUM($F$2:$F$5)</f>
        <v>0.46242774566473988</v>
      </c>
      <c r="I2" s="10" t="s">
        <v>57</v>
      </c>
      <c r="J2">
        <f>COUNTIF('Respuestas de formulario 1'!I:I,"*Datos*")</f>
        <v>92</v>
      </c>
      <c r="K2" s="4">
        <f>J2/SUM($J$2:$J$5)</f>
        <v>0.37096774193548387</v>
      </c>
      <c r="M2" s="12" t="s">
        <v>364</v>
      </c>
      <c r="N2">
        <f>COUNTIF('Respuestas de formulario 1'!J:J,"Sí, siempre")</f>
        <v>62</v>
      </c>
      <c r="O2" s="4">
        <f>N2/SUM($N$2:$N$4)</f>
        <v>0.3583815028901734</v>
      </c>
    </row>
    <row r="3" spans="1:15" x14ac:dyDescent="0.25">
      <c r="A3" s="5" t="s">
        <v>365</v>
      </c>
      <c r="B3">
        <f>COUNTIF('Respuestas de formulario 1'!G:G,"*Laptop propia*")</f>
        <v>65</v>
      </c>
      <c r="C3" s="4">
        <f t="shared" ref="C3:C5" si="0">B3/SUM($B$2:$B$5)</f>
        <v>0.26970954356846472</v>
      </c>
      <c r="E3" s="9" t="s">
        <v>56</v>
      </c>
      <c r="F3">
        <f>COUNTIF('Respuestas de formulario 1'!H:H,"*Yo mismo*")</f>
        <v>78</v>
      </c>
      <c r="G3" s="4">
        <f>F3/SUM($F$2:$F$5)</f>
        <v>0.45086705202312138</v>
      </c>
      <c r="I3" s="10" t="s">
        <v>366</v>
      </c>
      <c r="J3">
        <f>COUNTIF('Respuestas de formulario 1'!I:I,"*wifi en casa*")</f>
        <v>115</v>
      </c>
      <c r="K3" s="4">
        <f>J3/SUM($J$2:$J$5)</f>
        <v>0.46370967741935482</v>
      </c>
      <c r="M3" s="12" t="s">
        <v>25</v>
      </c>
      <c r="N3">
        <f>COUNTIF('Respuestas de formulario 1'!J:J,"Aveces")</f>
        <v>101</v>
      </c>
      <c r="O3" s="4">
        <f>N3/SUM($N$2:$N$4)</f>
        <v>0.58381502890173409</v>
      </c>
    </row>
    <row r="4" spans="1:15" x14ac:dyDescent="0.25">
      <c r="A4" s="5" t="s">
        <v>367</v>
      </c>
      <c r="B4">
        <f>COUNTIF('Respuestas de formulario 1'!G:G,"*PC de casa*")</f>
        <v>12</v>
      </c>
      <c r="C4" s="4">
        <f t="shared" si="0"/>
        <v>4.9792531120331947E-2</v>
      </c>
      <c r="E4" s="9" t="s">
        <v>88</v>
      </c>
      <c r="F4">
        <f>COUNTIF('Respuestas de formulario 1'!H:H,"*Beca/apoyo institucional*")</f>
        <v>2</v>
      </c>
      <c r="G4" s="4">
        <f>F4/SUM($F$2:$F$5)</f>
        <v>1.1560693641618497E-2</v>
      </c>
      <c r="I4" s="10" t="s">
        <v>368</v>
      </c>
      <c r="J4">
        <f>COUNTIF('Respuestas de formulario 1'!I:I,"*institución*")</f>
        <v>33</v>
      </c>
      <c r="K4" s="4">
        <f>J4/SUM($J$2:$J$5)</f>
        <v>0.13306451612903225</v>
      </c>
      <c r="M4" s="12" t="s">
        <v>63</v>
      </c>
      <c r="N4">
        <f>COUNTIF('Respuestas de formulario 1'!J:J,"Nunca")</f>
        <v>10</v>
      </c>
      <c r="O4" s="4">
        <f>N4/SUM($N$2:$N$4)</f>
        <v>5.7803468208092484E-2</v>
      </c>
    </row>
    <row r="5" spans="1:15" x14ac:dyDescent="0.25">
      <c r="A5" s="5" t="s">
        <v>369</v>
      </c>
      <c r="B5">
        <f>COUNTIF('Respuestas de formulario 1'!G:G,"*Equipo de la Institución*")</f>
        <v>8</v>
      </c>
      <c r="C5" s="4">
        <f t="shared" si="0"/>
        <v>3.3195020746887967E-2</v>
      </c>
      <c r="E5" s="9" t="s">
        <v>370</v>
      </c>
      <c r="F5">
        <f>COUNTIF('Respuestas de formulario 1'!H:H,"*no tengo acceso constante*")</f>
        <v>13</v>
      </c>
      <c r="G5" s="4">
        <f>F5/SUM($F$2:$F$5)</f>
        <v>7.5144508670520235E-2</v>
      </c>
      <c r="I5" s="10" t="s">
        <v>371</v>
      </c>
      <c r="J5">
        <f>COUNTIF('Respuestas de formulario 1'!I:I,"*pública*")</f>
        <v>8</v>
      </c>
      <c r="K5" s="4">
        <f>J5/SUM($J$2:$J$5)</f>
        <v>3.2258064516129031E-2</v>
      </c>
    </row>
    <row r="27" spans="1:15" ht="26.4" x14ac:dyDescent="0.25">
      <c r="A27" s="11" t="s">
        <v>372</v>
      </c>
      <c r="B27" s="11" t="s">
        <v>357</v>
      </c>
      <c r="C27" s="11" t="s">
        <v>358</v>
      </c>
      <c r="E27" s="7" t="s">
        <v>373</v>
      </c>
      <c r="F27" s="7" t="s">
        <v>357</v>
      </c>
      <c r="G27" s="7" t="s">
        <v>358</v>
      </c>
      <c r="I27" s="6" t="s">
        <v>374</v>
      </c>
      <c r="J27" s="6" t="s">
        <v>361</v>
      </c>
      <c r="K27" s="6" t="s">
        <v>358</v>
      </c>
      <c r="M27" s="13" t="s">
        <v>375</v>
      </c>
      <c r="N27" s="8" t="s">
        <v>357</v>
      </c>
      <c r="O27" s="8" t="s">
        <v>358</v>
      </c>
    </row>
    <row r="28" spans="1:15" x14ac:dyDescent="0.25">
      <c r="A28" s="12" t="s">
        <v>20</v>
      </c>
      <c r="B28">
        <f>COUNTIF('Respuestas de formulario 1'!E:E,"ACyT")</f>
        <v>123</v>
      </c>
      <c r="C28" s="4">
        <f>B28/SUM($B$28:$B$32)</f>
        <v>0.71098265895953761</v>
      </c>
      <c r="E28" s="10" t="s">
        <v>289</v>
      </c>
      <c r="F28">
        <f>COUNTIF('Respuestas de formulario 1'!Q:Q,"*Caídas frecuentes de plataforma*")</f>
        <v>71</v>
      </c>
      <c r="G28" s="4">
        <f>F28/SUM($F$28:$F$34)</f>
        <v>0.16666666666666666</v>
      </c>
      <c r="I28" s="9" t="s">
        <v>93</v>
      </c>
      <c r="J28">
        <f>COUNTIF('Respuestas de formulario 1'!O:O,"Exelente")</f>
        <v>6</v>
      </c>
      <c r="K28" s="4">
        <f>J28/SUM($J$28:$J$32)</f>
        <v>3.4682080924855488E-2</v>
      </c>
      <c r="M28" s="5" t="s">
        <v>63</v>
      </c>
      <c r="N28">
        <f>COUNTIF('Respuestas de formulario 1'!P:P,"Nunca")</f>
        <v>5</v>
      </c>
      <c r="O28" s="4">
        <f>N28/SUM($N$28:$N$32)</f>
        <v>2.8901734104046242E-2</v>
      </c>
    </row>
    <row r="29" spans="1:15" x14ac:dyDescent="0.25">
      <c r="A29" s="12" t="s">
        <v>296</v>
      </c>
      <c r="B29">
        <f>COUNTIF('Respuestas de formulario 1'!E:E,"ACSyH")</f>
        <v>47</v>
      </c>
      <c r="C29" s="4">
        <f t="shared" ref="C29:C32" si="1">B29/SUM($B$28:$B$32)</f>
        <v>0.27167630057803466</v>
      </c>
      <c r="E29" s="10" t="s">
        <v>36</v>
      </c>
      <c r="F29">
        <f>COUNTIF('Respuestas de formulario 1'!Q:Q,"*Lentitud para cargar contenidos*")</f>
        <v>115</v>
      </c>
      <c r="G29" s="4">
        <f t="shared" ref="G29:G34" si="2">F29/SUM($F$28:$F$34)</f>
        <v>0.2699530516431925</v>
      </c>
      <c r="I29" s="9" t="s">
        <v>42</v>
      </c>
      <c r="J29">
        <f>COUNTIF('Respuestas de formulario 1'!O:O,"Buena")</f>
        <v>39</v>
      </c>
      <c r="K29" s="4">
        <f>J29/SUM($J$28:$J$32)</f>
        <v>0.22543352601156069</v>
      </c>
      <c r="M29" s="5" t="s">
        <v>35</v>
      </c>
      <c r="N29">
        <f>COUNTIF('Respuestas de formulario 1'!P:P,"Raramente")</f>
        <v>46</v>
      </c>
      <c r="O29" s="4">
        <f>N29/SUM($N$28:$N$32)</f>
        <v>0.26589595375722541</v>
      </c>
    </row>
    <row r="30" spans="1:15" x14ac:dyDescent="0.25">
      <c r="A30" s="12" t="s">
        <v>208</v>
      </c>
      <c r="B30">
        <f>COUNTIF('Respuestas de formulario 1'!E:E,"ACPyJ")</f>
        <v>1</v>
      </c>
      <c r="C30" s="4">
        <f t="shared" si="1"/>
        <v>5.7803468208092483E-3</v>
      </c>
      <c r="E30" s="10" t="s">
        <v>133</v>
      </c>
      <c r="F30">
        <f>COUNTIF('Respuestas de formulario 1'!Q:Q,"*Dificultad para subir archivos/tareas*")</f>
        <v>88</v>
      </c>
      <c r="G30" s="4">
        <f t="shared" si="2"/>
        <v>0.20657276995305165</v>
      </c>
      <c r="I30" s="9" t="s">
        <v>29</v>
      </c>
      <c r="J30">
        <f>COUNTIF('Respuestas de formulario 1'!O:O,"Regular")</f>
        <v>101</v>
      </c>
      <c r="K30" s="4">
        <f>J30/SUM($J$28:$J$32)</f>
        <v>0.58381502890173409</v>
      </c>
      <c r="M30" s="5" t="s">
        <v>25</v>
      </c>
      <c r="N30">
        <f>COUNTIF('Respuestas de formulario 1'!P:P,"Aveces")</f>
        <v>90</v>
      </c>
      <c r="O30" s="4">
        <f>N30/SUM($N$28:$N$32)</f>
        <v>0.52023121387283233</v>
      </c>
    </row>
    <row r="31" spans="1:15" x14ac:dyDescent="0.25">
      <c r="A31" s="12" t="s">
        <v>217</v>
      </c>
      <c r="B31">
        <f>COUNTIF('Respuestas de formulario 1'!E:E,"ACBN")</f>
        <v>1</v>
      </c>
      <c r="C31" s="4">
        <f t="shared" si="1"/>
        <v>5.7803468208092483E-3</v>
      </c>
      <c r="E31" s="10" t="s">
        <v>220</v>
      </c>
      <c r="F31">
        <f>COUNTIF('Respuestas de formulario 1'!Q:Q,"*Problemas de audio/video en vivo*")</f>
        <v>80</v>
      </c>
      <c r="G31" s="4">
        <f t="shared" si="2"/>
        <v>0.18779342723004694</v>
      </c>
      <c r="I31" s="9" t="s">
        <v>105</v>
      </c>
      <c r="J31">
        <f>COUNTIF('Respuestas de formulario 1'!O:O,"Mala")</f>
        <v>14</v>
      </c>
      <c r="K31" s="4">
        <f>J31/SUM($J$28:$J$32)</f>
        <v>8.0924855491329481E-2</v>
      </c>
      <c r="M31" s="5" t="s">
        <v>59</v>
      </c>
      <c r="N31">
        <f>COUNTIF('Respuestas de formulario 1'!P:P,"Frecuentemente")</f>
        <v>23</v>
      </c>
      <c r="O31" s="4">
        <f>N31/SUM($N$28:$N$32)</f>
        <v>0.13294797687861271</v>
      </c>
    </row>
    <row r="32" spans="1:15" x14ac:dyDescent="0.25">
      <c r="A32" s="12" t="s">
        <v>246</v>
      </c>
      <c r="B32">
        <f>COUNTIF('Respuestas de formulario 1'!E:E,"ACS")</f>
        <v>1</v>
      </c>
      <c r="C32" s="4">
        <f t="shared" si="1"/>
        <v>5.7803468208092483E-3</v>
      </c>
      <c r="E32" s="10" t="s">
        <v>115</v>
      </c>
      <c r="F32">
        <f>COUNTIF('Respuestas de formulario 1'!Q:Q,"*Incompatibilidad con mi dispositivo*")</f>
        <v>22</v>
      </c>
      <c r="G32" s="4">
        <f t="shared" si="2"/>
        <v>5.1643192488262914E-2</v>
      </c>
      <c r="I32" s="9" t="s">
        <v>58</v>
      </c>
      <c r="J32">
        <f>COUNTIF('Respuestas de formulario 1'!O:O,"Muy mala")</f>
        <v>13</v>
      </c>
      <c r="K32" s="4">
        <f>J32/SUM($J$28:$J$32)</f>
        <v>7.5144508670520235E-2</v>
      </c>
      <c r="M32" s="5" t="s">
        <v>114</v>
      </c>
      <c r="N32">
        <f>COUNTIF('Respuestas de formulario 1'!P:P,"Siempre")</f>
        <v>9</v>
      </c>
      <c r="O32" s="4">
        <f>N32/SUM($N$28:$N$32)</f>
        <v>5.2023121387283239E-2</v>
      </c>
    </row>
    <row r="33" spans="5:7" x14ac:dyDescent="0.25">
      <c r="E33" s="10" t="s">
        <v>376</v>
      </c>
      <c r="F33">
        <f>COUNTIF('Respuestas de formulario 1'!Q:Q,"*Falta de soporte cuando hay problemas*")</f>
        <v>33</v>
      </c>
      <c r="G33" s="4">
        <f t="shared" si="2"/>
        <v>7.746478873239436E-2</v>
      </c>
    </row>
    <row r="34" spans="5:7" x14ac:dyDescent="0.25">
      <c r="E34" s="10" t="s">
        <v>81</v>
      </c>
      <c r="F34">
        <f>COUNTIF('Respuestas de formulario 1'!Q:Q,"*Ninguna de las anteriores*")</f>
        <v>17</v>
      </c>
      <c r="G34" s="4">
        <f t="shared" si="2"/>
        <v>3.9906103286384977E-2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400A-096B-4BA2-9F52-559AB185FC41}">
  <dimension ref="A1:Y1"/>
  <sheetViews>
    <sheetView zoomScale="51" workbookViewId="0">
      <selection activeCell="AD28" sqref="AD28"/>
    </sheetView>
  </sheetViews>
  <sheetFormatPr baseColWidth="10" defaultColWidth="8.88671875" defaultRowHeight="13.2" x14ac:dyDescent="0.25"/>
  <cols>
    <col min="1" max="1" width="36.5546875" bestFit="1" customWidth="1"/>
  </cols>
  <sheetData>
    <row r="1" spans="1:25" ht="26.4" x14ac:dyDescent="0.25">
      <c r="A1" s="14" t="s">
        <v>377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Respuestas de formulario 1</vt:lpstr>
      <vt:lpstr>Tabulacion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amarudaniel090@gmail.com</cp:lastModifiedBy>
  <cp:revision/>
  <dcterms:created xsi:type="dcterms:W3CDTF">2026-06-16T20:42:06Z</dcterms:created>
  <dcterms:modified xsi:type="dcterms:W3CDTF">2026-06-19T23:50:27Z</dcterms:modified>
  <cp:category/>
  <cp:contentStatus/>
</cp:coreProperties>
</file>